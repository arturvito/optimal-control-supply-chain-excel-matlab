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Meu Drive\Arquivos\Fabrizio\Papers\2026 SBPO\Otimização\"/>
    </mc:Choice>
  </mc:AlternateContent>
  <xr:revisionPtr revIDLastSave="0" documentId="13_ncr:1_{7305591D-A321-403D-8220-E737F129742A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Otimizacao_SCM" sheetId="10" r:id="rId1"/>
    <sheet name="Guess" sheetId="11" r:id="rId2"/>
  </sheets>
  <definedNames>
    <definedName name="solver_adj" localSheetId="0" hidden="1">Otimizacao_SCM!$C$3:$E$62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Otimizacao_SCM!$C$3:$E$62</definedName>
    <definedName name="solver_lhs2" localSheetId="0" hidden="1">Otimizacao_SCM!$C$3:$E$62</definedName>
    <definedName name="solver_lhs3" localSheetId="0" hidden="1">Otimizacao_SCM!$C$3:$E$62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Otimizacao_SCM!$AK$2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4</definedName>
    <definedName name="solver_rel3" localSheetId="0" hidden="1">3</definedName>
    <definedName name="solver_rhs1" localSheetId="0" hidden="1">400</definedName>
    <definedName name="solver_rhs2" localSheetId="0" hidden="1">"número inteiro"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" i="10" l="1"/>
  <c r="AN3" i="10"/>
  <c r="AO3" i="10"/>
  <c r="AP3" i="10"/>
  <c r="AM4" i="10"/>
  <c r="AN4" i="10"/>
  <c r="AO4" i="10"/>
  <c r="AP4" i="10"/>
  <c r="AM5" i="10"/>
  <c r="AN5" i="10"/>
  <c r="AO5" i="10"/>
  <c r="AP5" i="10"/>
  <c r="AM6" i="10"/>
  <c r="AN6" i="10"/>
  <c r="AO6" i="10"/>
  <c r="AP6" i="10"/>
  <c r="AM7" i="10"/>
  <c r="AN7" i="10"/>
  <c r="AO7" i="10"/>
  <c r="AP7" i="10"/>
  <c r="AM8" i="10"/>
  <c r="AN8" i="10"/>
  <c r="AO8" i="10"/>
  <c r="AP8" i="10"/>
  <c r="AM9" i="10"/>
  <c r="AN9" i="10"/>
  <c r="AO9" i="10"/>
  <c r="AP9" i="10"/>
  <c r="AM10" i="10"/>
  <c r="AN10" i="10"/>
  <c r="AO10" i="10"/>
  <c r="AP10" i="10"/>
  <c r="AM11" i="10"/>
  <c r="AN11" i="10"/>
  <c r="AO11" i="10"/>
  <c r="AP11" i="10"/>
  <c r="AM12" i="10"/>
  <c r="AN12" i="10"/>
  <c r="AO12" i="10"/>
  <c r="AP12" i="10"/>
  <c r="AM13" i="10"/>
  <c r="AN13" i="10"/>
  <c r="AO13" i="10"/>
  <c r="AP13" i="10"/>
  <c r="AM14" i="10"/>
  <c r="AN14" i="10"/>
  <c r="AO14" i="10"/>
  <c r="AP14" i="10"/>
  <c r="AM15" i="10"/>
  <c r="AN15" i="10"/>
  <c r="AO15" i="10"/>
  <c r="AP15" i="10"/>
  <c r="AM16" i="10"/>
  <c r="AN16" i="10"/>
  <c r="AO16" i="10"/>
  <c r="AP16" i="10"/>
  <c r="AM17" i="10"/>
  <c r="AN17" i="10"/>
  <c r="AO17" i="10"/>
  <c r="AP17" i="10"/>
  <c r="AM18" i="10"/>
  <c r="AN18" i="10"/>
  <c r="AO18" i="10"/>
  <c r="AP18" i="10"/>
  <c r="AM19" i="10"/>
  <c r="AN19" i="10"/>
  <c r="AO19" i="10"/>
  <c r="AP19" i="10"/>
  <c r="AM20" i="10"/>
  <c r="AN20" i="10"/>
  <c r="AO20" i="10"/>
  <c r="AP20" i="10"/>
  <c r="AM21" i="10"/>
  <c r="AN21" i="10"/>
  <c r="AO21" i="10"/>
  <c r="AP21" i="10"/>
  <c r="AM22" i="10"/>
  <c r="AN22" i="10"/>
  <c r="AO22" i="10"/>
  <c r="AP22" i="10"/>
  <c r="AM23" i="10"/>
  <c r="AN23" i="10"/>
  <c r="AO23" i="10"/>
  <c r="AP23" i="10"/>
  <c r="AM24" i="10"/>
  <c r="AN24" i="10"/>
  <c r="AO24" i="10"/>
  <c r="AP24" i="10"/>
  <c r="AM25" i="10"/>
  <c r="AN25" i="10"/>
  <c r="AO25" i="10"/>
  <c r="AP25" i="10"/>
  <c r="AM26" i="10"/>
  <c r="AN26" i="10"/>
  <c r="AO26" i="10"/>
  <c r="AP26" i="10"/>
  <c r="AM27" i="10"/>
  <c r="AN27" i="10"/>
  <c r="AO27" i="10"/>
  <c r="AP27" i="10"/>
  <c r="AM28" i="10"/>
  <c r="AN28" i="10"/>
  <c r="AO28" i="10"/>
  <c r="AP28" i="10"/>
  <c r="AM29" i="10"/>
  <c r="AN29" i="10"/>
  <c r="AO29" i="10"/>
  <c r="AP29" i="10"/>
  <c r="AM30" i="10"/>
  <c r="AN30" i="10"/>
  <c r="AO30" i="10"/>
  <c r="AP30" i="10"/>
  <c r="AM31" i="10"/>
  <c r="AN31" i="10"/>
  <c r="AO31" i="10"/>
  <c r="AP31" i="10"/>
  <c r="AM32" i="10"/>
  <c r="AN32" i="10"/>
  <c r="AO32" i="10"/>
  <c r="AP32" i="10"/>
  <c r="AM33" i="10"/>
  <c r="AN33" i="10"/>
  <c r="AO33" i="10"/>
  <c r="AP33" i="10"/>
  <c r="AM34" i="10"/>
  <c r="AN34" i="10"/>
  <c r="AO34" i="10"/>
  <c r="AP34" i="10"/>
  <c r="AM35" i="10"/>
  <c r="AN35" i="10"/>
  <c r="AO35" i="10"/>
  <c r="AP35" i="10"/>
  <c r="AM36" i="10"/>
  <c r="AN36" i="10"/>
  <c r="AO36" i="10"/>
  <c r="AP36" i="10"/>
  <c r="AM37" i="10"/>
  <c r="AN37" i="10"/>
  <c r="AO37" i="10"/>
  <c r="AP37" i="10"/>
  <c r="AM38" i="10"/>
  <c r="AN38" i="10"/>
  <c r="AO38" i="10"/>
  <c r="AP38" i="10"/>
  <c r="AM39" i="10"/>
  <c r="AN39" i="10"/>
  <c r="AO39" i="10"/>
  <c r="AP39" i="10"/>
  <c r="AM40" i="10"/>
  <c r="AN40" i="10"/>
  <c r="AO40" i="10"/>
  <c r="AP40" i="10"/>
  <c r="AM41" i="10"/>
  <c r="AN41" i="10"/>
  <c r="AO41" i="10"/>
  <c r="AP41" i="10"/>
  <c r="AM42" i="10"/>
  <c r="AN42" i="10"/>
  <c r="AO42" i="10"/>
  <c r="AP42" i="10"/>
  <c r="AM43" i="10"/>
  <c r="AN43" i="10"/>
  <c r="AO43" i="10"/>
  <c r="AP43" i="10"/>
  <c r="AM44" i="10"/>
  <c r="AN44" i="10"/>
  <c r="AO44" i="10"/>
  <c r="AP44" i="10"/>
  <c r="AM45" i="10"/>
  <c r="AN45" i="10"/>
  <c r="AO45" i="10"/>
  <c r="AP45" i="10"/>
  <c r="AM46" i="10"/>
  <c r="AN46" i="10"/>
  <c r="AO46" i="10"/>
  <c r="AP46" i="10"/>
  <c r="AM47" i="10"/>
  <c r="AN47" i="10"/>
  <c r="AO47" i="10"/>
  <c r="AP47" i="10"/>
  <c r="AM48" i="10"/>
  <c r="AN48" i="10"/>
  <c r="AO48" i="10"/>
  <c r="AP48" i="10"/>
  <c r="AM49" i="10"/>
  <c r="AN49" i="10"/>
  <c r="AO49" i="10"/>
  <c r="AP49" i="10"/>
  <c r="AM50" i="10"/>
  <c r="AN50" i="10"/>
  <c r="AO50" i="10"/>
  <c r="AP50" i="10"/>
  <c r="AM51" i="10"/>
  <c r="AN51" i="10"/>
  <c r="AO51" i="10"/>
  <c r="AP51" i="10"/>
  <c r="AM52" i="10"/>
  <c r="AN52" i="10"/>
  <c r="AO52" i="10"/>
  <c r="AP52" i="10"/>
  <c r="AM53" i="10"/>
  <c r="AN53" i="10"/>
  <c r="AO53" i="10"/>
  <c r="AP53" i="10"/>
  <c r="AM54" i="10"/>
  <c r="AN54" i="10"/>
  <c r="AO54" i="10"/>
  <c r="AP54" i="10"/>
  <c r="AM55" i="10"/>
  <c r="AN55" i="10"/>
  <c r="AO55" i="10"/>
  <c r="AP55" i="10"/>
  <c r="AM56" i="10"/>
  <c r="AN56" i="10"/>
  <c r="AO56" i="10"/>
  <c r="AP56" i="10"/>
  <c r="AM57" i="10"/>
  <c r="AN57" i="10"/>
  <c r="AO57" i="10"/>
  <c r="AP57" i="10"/>
  <c r="AM58" i="10"/>
  <c r="AN58" i="10"/>
  <c r="AO58" i="10"/>
  <c r="AP58" i="10"/>
  <c r="AM59" i="10"/>
  <c r="AN59" i="10"/>
  <c r="AO59" i="10"/>
  <c r="AP59" i="10"/>
  <c r="AM60" i="10"/>
  <c r="AN60" i="10"/>
  <c r="AO60" i="10"/>
  <c r="AP60" i="10"/>
  <c r="AM61" i="10"/>
  <c r="AN61" i="10"/>
  <c r="AO61" i="10"/>
  <c r="AP61" i="10"/>
  <c r="AM62" i="10"/>
  <c r="AN62" i="10"/>
  <c r="AO62" i="10"/>
  <c r="AP62" i="10"/>
  <c r="AM63" i="10"/>
  <c r="AN63" i="10"/>
  <c r="AO63" i="10"/>
  <c r="AP63" i="10"/>
  <c r="AM64" i="10"/>
  <c r="AN64" i="10"/>
  <c r="AO64" i="10"/>
  <c r="AP64" i="10"/>
  <c r="AM65" i="10"/>
  <c r="AN65" i="10"/>
  <c r="AO65" i="10"/>
  <c r="AP65" i="10"/>
  <c r="AM66" i="10"/>
  <c r="AN66" i="10"/>
  <c r="AO66" i="10"/>
  <c r="AP66" i="10"/>
  <c r="AM67" i="10"/>
  <c r="AN67" i="10"/>
  <c r="AO67" i="10"/>
  <c r="AP67" i="10"/>
  <c r="AM68" i="10"/>
  <c r="AN68" i="10"/>
  <c r="AO68" i="10"/>
  <c r="AP68" i="10"/>
  <c r="AM69" i="10"/>
  <c r="AN69" i="10"/>
  <c r="AO69" i="10"/>
  <c r="AP69" i="10"/>
  <c r="AM70" i="10"/>
  <c r="AN70" i="10"/>
  <c r="AO70" i="10"/>
  <c r="AP70" i="10"/>
  <c r="AM71" i="10"/>
  <c r="AN71" i="10"/>
  <c r="AO71" i="10"/>
  <c r="AP71" i="10"/>
  <c r="AM72" i="10"/>
  <c r="AN72" i="10"/>
  <c r="AO72" i="10"/>
  <c r="AP72" i="10"/>
  <c r="AM73" i="10"/>
  <c r="AN73" i="10"/>
  <c r="AO73" i="10"/>
  <c r="AP73" i="10"/>
  <c r="AM74" i="10"/>
  <c r="AN74" i="10"/>
  <c r="AO74" i="10"/>
  <c r="AP74" i="10"/>
  <c r="AM75" i="10"/>
  <c r="AN75" i="10"/>
  <c r="AO75" i="10"/>
  <c r="AP75" i="10"/>
  <c r="AM76" i="10"/>
  <c r="AN76" i="10"/>
  <c r="AO76" i="10"/>
  <c r="AP76" i="10"/>
  <c r="AM77" i="10"/>
  <c r="AN77" i="10"/>
  <c r="AO77" i="10"/>
  <c r="AP77" i="10"/>
  <c r="AM78" i="10"/>
  <c r="AN78" i="10"/>
  <c r="AO78" i="10"/>
  <c r="AP78" i="10"/>
  <c r="AM79" i="10"/>
  <c r="AN79" i="10"/>
  <c r="AO79" i="10"/>
  <c r="AP79" i="10"/>
  <c r="AM80" i="10"/>
  <c r="AN80" i="10"/>
  <c r="AO80" i="10"/>
  <c r="AP80" i="10"/>
  <c r="AM81" i="10"/>
  <c r="AN81" i="10"/>
  <c r="AO81" i="10"/>
  <c r="AP81" i="10"/>
  <c r="AM82" i="10"/>
  <c r="AN82" i="10"/>
  <c r="AO82" i="10"/>
  <c r="AP82" i="10"/>
  <c r="AM83" i="10"/>
  <c r="AN83" i="10"/>
  <c r="AO83" i="10"/>
  <c r="AP83" i="10"/>
  <c r="AM84" i="10"/>
  <c r="AN84" i="10"/>
  <c r="AO84" i="10"/>
  <c r="AP84" i="10"/>
  <c r="AM85" i="10"/>
  <c r="AN85" i="10"/>
  <c r="AO85" i="10"/>
  <c r="AP85" i="10"/>
  <c r="AM86" i="10"/>
  <c r="AN86" i="10"/>
  <c r="AO86" i="10"/>
  <c r="AP86" i="10"/>
  <c r="AM87" i="10"/>
  <c r="AN87" i="10"/>
  <c r="AO87" i="10"/>
  <c r="AP87" i="10"/>
  <c r="AM88" i="10"/>
  <c r="AN88" i="10"/>
  <c r="AO88" i="10"/>
  <c r="AP88" i="10"/>
  <c r="AM89" i="10"/>
  <c r="AN89" i="10"/>
  <c r="AO89" i="10"/>
  <c r="AP89" i="10"/>
  <c r="AM90" i="10"/>
  <c r="AN90" i="10"/>
  <c r="AO90" i="10"/>
  <c r="AP90" i="10"/>
  <c r="AM91" i="10"/>
  <c r="AN91" i="10"/>
  <c r="AO91" i="10"/>
  <c r="AP91" i="10"/>
  <c r="AM92" i="10"/>
  <c r="AN92" i="10"/>
  <c r="AO92" i="10"/>
  <c r="AP92" i="10"/>
  <c r="AM93" i="10"/>
  <c r="AN93" i="10"/>
  <c r="AO93" i="10"/>
  <c r="AP93" i="10"/>
  <c r="AM94" i="10"/>
  <c r="AN94" i="10"/>
  <c r="AO94" i="10"/>
  <c r="AP94" i="10"/>
  <c r="AM95" i="10"/>
  <c r="AN95" i="10"/>
  <c r="AO95" i="10"/>
  <c r="AP95" i="10"/>
  <c r="AM96" i="10"/>
  <c r="AN96" i="10"/>
  <c r="AO96" i="10"/>
  <c r="AP96" i="10"/>
  <c r="AM97" i="10"/>
  <c r="AN97" i="10"/>
  <c r="AO97" i="10"/>
  <c r="AP97" i="10"/>
  <c r="AM98" i="10"/>
  <c r="AN98" i="10"/>
  <c r="AO98" i="10"/>
  <c r="AP98" i="10"/>
  <c r="AM99" i="10"/>
  <c r="AN99" i="10"/>
  <c r="AO99" i="10"/>
  <c r="AP99" i="10"/>
  <c r="AM100" i="10"/>
  <c r="AN100" i="10"/>
  <c r="AO100" i="10"/>
  <c r="AP100" i="10"/>
  <c r="AM101" i="10"/>
  <c r="AN101" i="10"/>
  <c r="AO101" i="10"/>
  <c r="AP101" i="10"/>
  <c r="AM102" i="10"/>
  <c r="AN102" i="10"/>
  <c r="AO102" i="10"/>
  <c r="AP102" i="10"/>
  <c r="AM103" i="10"/>
  <c r="AN103" i="10"/>
  <c r="AO103" i="10"/>
  <c r="AP103" i="10"/>
  <c r="AM104" i="10"/>
  <c r="AN104" i="10"/>
  <c r="AO104" i="10"/>
  <c r="AP104" i="10"/>
  <c r="AM105" i="10"/>
  <c r="AN105" i="10"/>
  <c r="AO105" i="10"/>
  <c r="AP105" i="10"/>
  <c r="AM106" i="10"/>
  <c r="AN106" i="10"/>
  <c r="AO106" i="10"/>
  <c r="AP106" i="10"/>
  <c r="AM107" i="10"/>
  <c r="AN107" i="10"/>
  <c r="AO107" i="10"/>
  <c r="AP107" i="10"/>
  <c r="AM108" i="10"/>
  <c r="AN108" i="10"/>
  <c r="AO108" i="10"/>
  <c r="AP108" i="10"/>
  <c r="AM109" i="10"/>
  <c r="AN109" i="10"/>
  <c r="AO109" i="10"/>
  <c r="AP109" i="10"/>
  <c r="AM110" i="10"/>
  <c r="AN110" i="10"/>
  <c r="AO110" i="10"/>
  <c r="AP110" i="10"/>
  <c r="AM111" i="10"/>
  <c r="AN111" i="10"/>
  <c r="AO111" i="10"/>
  <c r="AP111" i="10"/>
  <c r="AM112" i="10"/>
  <c r="AN112" i="10"/>
  <c r="AO112" i="10"/>
  <c r="AP112" i="10"/>
  <c r="AM113" i="10"/>
  <c r="AN113" i="10"/>
  <c r="AO113" i="10"/>
  <c r="AP113" i="10"/>
  <c r="AM114" i="10"/>
  <c r="AN114" i="10"/>
  <c r="AO114" i="10"/>
  <c r="AP114" i="10"/>
  <c r="AM115" i="10"/>
  <c r="AN115" i="10"/>
  <c r="AO115" i="10"/>
  <c r="AP115" i="10"/>
  <c r="AM116" i="10"/>
  <c r="AN116" i="10"/>
  <c r="AO116" i="10"/>
  <c r="AP116" i="10"/>
  <c r="AM117" i="10"/>
  <c r="AN117" i="10"/>
  <c r="AO117" i="10"/>
  <c r="AP117" i="10"/>
  <c r="AM118" i="10"/>
  <c r="AN118" i="10"/>
  <c r="AO118" i="10"/>
  <c r="AP118" i="10"/>
  <c r="AM119" i="10"/>
  <c r="AN119" i="10"/>
  <c r="AO119" i="10"/>
  <c r="AP119" i="10"/>
  <c r="AM120" i="10"/>
  <c r="AN120" i="10"/>
  <c r="AO120" i="10"/>
  <c r="AP120" i="10"/>
  <c r="AM121" i="10"/>
  <c r="AN121" i="10"/>
  <c r="AO121" i="10"/>
  <c r="AP121" i="10"/>
  <c r="AM122" i="10"/>
  <c r="AN122" i="10"/>
  <c r="AO122" i="10"/>
  <c r="AP122" i="10"/>
  <c r="AP2" i="10"/>
  <c r="AO2" i="10"/>
  <c r="AN2" i="10"/>
  <c r="AM2" i="10"/>
  <c r="A4" i="10"/>
  <c r="A5" i="10" s="1"/>
  <c r="B4" i="10"/>
  <c r="AA4" i="10"/>
  <c r="AI4" i="10"/>
  <c r="B5" i="10"/>
  <c r="AI5" i="10"/>
  <c r="A6" i="10"/>
  <c r="AI6" i="10" s="1"/>
  <c r="B6" i="10"/>
  <c r="A7" i="10"/>
  <c r="B7" i="10"/>
  <c r="AI3" i="10"/>
  <c r="AH3" i="10"/>
  <c r="AG3" i="10"/>
  <c r="AF3" i="10"/>
  <c r="AE3" i="10"/>
  <c r="U3" i="10"/>
  <c r="T3" i="10"/>
  <c r="S3" i="10"/>
  <c r="Q3" i="10"/>
  <c r="K3" i="10"/>
  <c r="J3" i="10"/>
  <c r="I3" i="10"/>
  <c r="H3" i="10"/>
  <c r="G3" i="10"/>
  <c r="F3" i="10"/>
  <c r="AD3" i="10"/>
  <c r="N3" i="10" s="1"/>
  <c r="P3" i="10" s="1"/>
  <c r="Z4" i="10" s="1"/>
  <c r="AC3" i="10"/>
  <c r="W3" i="10" s="1"/>
  <c r="AB3" i="10"/>
  <c r="L3" i="10" s="1"/>
  <c r="AA3" i="10"/>
  <c r="Z3" i="10"/>
  <c r="Y3" i="10"/>
  <c r="B3" i="10"/>
  <c r="A3" i="10"/>
  <c r="X3" i="10" l="1"/>
  <c r="M3" i="10"/>
  <c r="O3" i="10" s="1"/>
  <c r="Y4" i="10" s="1"/>
  <c r="AB4" i="10" s="1"/>
  <c r="V3" i="10"/>
  <c r="R3" i="10"/>
  <c r="G4" i="10"/>
  <c r="AD4" i="10"/>
  <c r="K4" i="10"/>
  <c r="T4" i="10"/>
  <c r="H4" i="10"/>
  <c r="Q4" i="10"/>
  <c r="U4" i="10"/>
  <c r="AI7" i="10"/>
  <c r="A8" i="10"/>
  <c r="S4" i="10" l="1"/>
  <c r="I4" i="10"/>
  <c r="F4" i="10"/>
  <c r="AF4" i="10" s="1"/>
  <c r="J4" i="10"/>
  <c r="AC4" i="10"/>
  <c r="M4" i="10" s="1"/>
  <c r="O4" i="10" s="1"/>
  <c r="L4" i="10"/>
  <c r="R4" i="10" s="1"/>
  <c r="V4" i="10"/>
  <c r="A9" i="10"/>
  <c r="AI8" i="10"/>
  <c r="B8" i="10"/>
  <c r="X4" i="10"/>
  <c r="N4" i="10"/>
  <c r="P4" i="10" s="1"/>
  <c r="AE4" i="10"/>
  <c r="AH4" i="10"/>
  <c r="AA5" i="10"/>
  <c r="U5" i="10" s="1"/>
  <c r="W4" i="10" l="1"/>
  <c r="AG4" i="10"/>
  <c r="Q5" i="10"/>
  <c r="A10" i="10"/>
  <c r="B9" i="10"/>
  <c r="AI9" i="10"/>
  <c r="Y5" i="10"/>
  <c r="Z5" i="10"/>
  <c r="AE5" i="10"/>
  <c r="AH5" i="10"/>
  <c r="H5" i="10"/>
  <c r="AA6" i="10" l="1"/>
  <c r="U6" i="10" s="1"/>
  <c r="T5" i="10"/>
  <c r="AD5" i="10"/>
  <c r="G5" i="10"/>
  <c r="K5" i="10"/>
  <c r="AI10" i="10"/>
  <c r="A11" i="10"/>
  <c r="B10" i="10"/>
  <c r="S5" i="10"/>
  <c r="AB5" i="10"/>
  <c r="I5" i="10"/>
  <c r="J5" i="10"/>
  <c r="F5" i="10"/>
  <c r="AC5" i="10"/>
  <c r="Q6" i="10" l="1"/>
  <c r="H6" i="10"/>
  <c r="M5" i="10"/>
  <c r="O5" i="10" s="1"/>
  <c r="Y6" i="10" s="1"/>
  <c r="S6" i="10" s="1"/>
  <c r="W5" i="10"/>
  <c r="B11" i="10"/>
  <c r="AI11" i="10"/>
  <c r="A12" i="10"/>
  <c r="AE6" i="10"/>
  <c r="AH6" i="10"/>
  <c r="AF5" i="10"/>
  <c r="AG5" i="10"/>
  <c r="V5" i="10"/>
  <c r="L5" i="10"/>
  <c r="R5" i="10" s="1"/>
  <c r="N5" i="10"/>
  <c r="P5" i="10" s="1"/>
  <c r="Z6" i="10" s="1"/>
  <c r="X5" i="10"/>
  <c r="AA7" i="10" l="1"/>
  <c r="U7" i="10" s="1"/>
  <c r="F6" i="10"/>
  <c r="T6" i="10"/>
  <c r="K6" i="10"/>
  <c r="AD6" i="10"/>
  <c r="N6" i="10" s="1"/>
  <c r="P6" i="10" s="1"/>
  <c r="G6" i="10"/>
  <c r="I6" i="10"/>
  <c r="AI12" i="10"/>
  <c r="A13" i="10"/>
  <c r="B12" i="10"/>
  <c r="J6" i="10"/>
  <c r="AC6" i="10"/>
  <c r="W6" i="10" s="1"/>
  <c r="AB6" i="10"/>
  <c r="L6" i="10" s="1"/>
  <c r="R6" i="10" s="1"/>
  <c r="X6" i="10" l="1"/>
  <c r="AF6" i="10"/>
  <c r="AE7" i="10"/>
  <c r="AH7" i="10"/>
  <c r="H7" i="10"/>
  <c r="Q7" i="10"/>
  <c r="AG6" i="10"/>
  <c r="M6" i="10"/>
  <c r="O6" i="10" s="1"/>
  <c r="Y7" i="10" s="1"/>
  <c r="A14" i="10"/>
  <c r="B13" i="10"/>
  <c r="AI13" i="10"/>
  <c r="Z7" i="10"/>
  <c r="T7" i="10" s="1"/>
  <c r="V6" i="10"/>
  <c r="AA8" i="10" l="1"/>
  <c r="U8" i="10" s="1"/>
  <c r="S7" i="10"/>
  <c r="AB7" i="10"/>
  <c r="V7" i="10" s="1"/>
  <c r="I7" i="10"/>
  <c r="A15" i="10"/>
  <c r="B14" i="10"/>
  <c r="AI14" i="10"/>
  <c r="J7" i="10"/>
  <c r="AD7" i="10"/>
  <c r="G7" i="10"/>
  <c r="AC7" i="10"/>
  <c r="K7" i="10"/>
  <c r="F7" i="10"/>
  <c r="H8" i="10" l="1"/>
  <c r="Q8" i="10"/>
  <c r="L7" i="10"/>
  <c r="R7" i="10" s="1"/>
  <c r="AG7" i="10"/>
  <c r="AF7" i="10"/>
  <c r="AH8" i="10"/>
  <c r="AE8" i="10"/>
  <c r="W7" i="10"/>
  <c r="M7" i="10"/>
  <c r="O7" i="10" s="1"/>
  <c r="X7" i="10"/>
  <c r="N7" i="10"/>
  <c r="P7" i="10" s="1"/>
  <c r="Z8" i="10" s="1"/>
  <c r="T8" i="10" s="1"/>
  <c r="AI15" i="10"/>
  <c r="A16" i="10"/>
  <c r="B15" i="10"/>
  <c r="AA9" i="10" l="1"/>
  <c r="U9" i="10" s="1"/>
  <c r="AE9" i="10" s="1"/>
  <c r="AD8" i="10"/>
  <c r="X8" i="10" s="1"/>
  <c r="B16" i="10"/>
  <c r="A17" i="10"/>
  <c r="AI16" i="10"/>
  <c r="Y8" i="10"/>
  <c r="G8" i="10"/>
  <c r="K8" i="10"/>
  <c r="AH9" i="10" l="1"/>
  <c r="Q9" i="10"/>
  <c r="H9" i="10"/>
  <c r="N8" i="10"/>
  <c r="P8" i="10" s="1"/>
  <c r="S8" i="10"/>
  <c r="I8" i="10"/>
  <c r="J8" i="10"/>
  <c r="F8" i="10"/>
  <c r="AB8" i="10"/>
  <c r="AC8" i="10"/>
  <c r="B17" i="10"/>
  <c r="AI17" i="10"/>
  <c r="A18" i="10"/>
  <c r="AA10" i="10" l="1"/>
  <c r="U10" i="10" s="1"/>
  <c r="A19" i="10"/>
  <c r="AI18" i="10"/>
  <c r="B18" i="10"/>
  <c r="M8" i="10"/>
  <c r="O8" i="10" s="1"/>
  <c r="Y9" i="10" s="1"/>
  <c r="W8" i="10"/>
  <c r="L8" i="10"/>
  <c r="R8" i="10" s="1"/>
  <c r="V8" i="10"/>
  <c r="AF8" i="10"/>
  <c r="AG8" i="10"/>
  <c r="Z9" i="10"/>
  <c r="Q10" i="10" l="1"/>
  <c r="S9" i="10"/>
  <c r="I9" i="10"/>
  <c r="AB9" i="10"/>
  <c r="L9" i="10" s="1"/>
  <c r="R9" i="10" s="1"/>
  <c r="AE10" i="10"/>
  <c r="AH10" i="10"/>
  <c r="F9" i="10"/>
  <c r="J9" i="10"/>
  <c r="T9" i="10"/>
  <c r="H10" i="10" s="1"/>
  <c r="K9" i="10"/>
  <c r="AD9" i="10"/>
  <c r="AC9" i="10"/>
  <c r="M9" i="10" s="1"/>
  <c r="O9" i="10" s="1"/>
  <c r="A20" i="10"/>
  <c r="B19" i="10"/>
  <c r="AI19" i="10"/>
  <c r="G9" i="10"/>
  <c r="W9" i="10" l="1"/>
  <c r="V9" i="10"/>
  <c r="AF9" i="10"/>
  <c r="AG9" i="10"/>
  <c r="AI20" i="10"/>
  <c r="B20" i="10"/>
  <c r="A21" i="10"/>
  <c r="AA11" i="10"/>
  <c r="X9" i="10"/>
  <c r="N9" i="10"/>
  <c r="P9" i="10" s="1"/>
  <c r="Z10" i="10" s="1"/>
  <c r="T10" i="10" s="1"/>
  <c r="Y10" i="10"/>
  <c r="S10" i="10" s="1"/>
  <c r="H11" i="10" l="1"/>
  <c r="I10" i="10"/>
  <c r="AB10" i="10"/>
  <c r="K10" i="10"/>
  <c r="J10" i="10"/>
  <c r="AC10" i="10"/>
  <c r="AD10" i="10"/>
  <c r="X10" i="10" s="1"/>
  <c r="U11" i="10"/>
  <c r="Q11" i="10"/>
  <c r="B21" i="10"/>
  <c r="AI21" i="10"/>
  <c r="A22" i="10"/>
  <c r="G10" i="10"/>
  <c r="F10" i="10"/>
  <c r="AA12" i="10" l="1"/>
  <c r="U12" i="10" s="1"/>
  <c r="AE12" i="10" s="1"/>
  <c r="N10" i="10"/>
  <c r="P10" i="10" s="1"/>
  <c r="Z11" i="10" s="1"/>
  <c r="T11" i="10" s="1"/>
  <c r="L10" i="10"/>
  <c r="R10" i="10" s="1"/>
  <c r="V10" i="10"/>
  <c r="A23" i="10"/>
  <c r="AI22" i="10"/>
  <c r="B22" i="10"/>
  <c r="AE11" i="10"/>
  <c r="AH11" i="10"/>
  <c r="AF10" i="10"/>
  <c r="AG10" i="10"/>
  <c r="W10" i="10"/>
  <c r="M10" i="10"/>
  <c r="O10" i="10" s="1"/>
  <c r="Y11" i="10" s="1"/>
  <c r="Q12" i="10" l="1"/>
  <c r="AH12" i="10"/>
  <c r="H12" i="10"/>
  <c r="S11" i="10"/>
  <c r="AB11" i="10"/>
  <c r="I11" i="10"/>
  <c r="AC11" i="10"/>
  <c r="W11" i="10" s="1"/>
  <c r="F11" i="10"/>
  <c r="J11" i="10"/>
  <c r="G11" i="10"/>
  <c r="A24" i="10"/>
  <c r="B23" i="10"/>
  <c r="AI23" i="10"/>
  <c r="AD11" i="10"/>
  <c r="K11" i="10"/>
  <c r="AA13" i="10" l="1"/>
  <c r="U13" i="10" s="1"/>
  <c r="AE13" i="10" s="1"/>
  <c r="X11" i="10"/>
  <c r="N11" i="10"/>
  <c r="P11" i="10" s="1"/>
  <c r="Z12" i="10" s="1"/>
  <c r="T12" i="10" s="1"/>
  <c r="M11" i="10"/>
  <c r="O11" i="10" s="1"/>
  <c r="Y12" i="10" s="1"/>
  <c r="S12" i="10" s="1"/>
  <c r="A25" i="10"/>
  <c r="B24" i="10"/>
  <c r="AI24" i="10"/>
  <c r="AF11" i="10"/>
  <c r="AG11" i="10"/>
  <c r="L11" i="10"/>
  <c r="R11" i="10" s="1"/>
  <c r="V11" i="10"/>
  <c r="AH13" i="10" l="1"/>
  <c r="H13" i="10"/>
  <c r="Q13" i="10"/>
  <c r="F12" i="10"/>
  <c r="K12" i="10"/>
  <c r="J12" i="10"/>
  <c r="AC12" i="10"/>
  <c r="I12" i="10"/>
  <c r="AB12" i="10"/>
  <c r="L12" i="10" s="1"/>
  <c r="R12" i="10" s="1"/>
  <c r="G12" i="10"/>
  <c r="A26" i="10"/>
  <c r="B25" i="10"/>
  <c r="AI25" i="10"/>
  <c r="AD12" i="10"/>
  <c r="N12" i="10" s="1"/>
  <c r="P12" i="10" s="1"/>
  <c r="V12" i="10" l="1"/>
  <c r="AA14" i="10"/>
  <c r="U14" i="10" s="1"/>
  <c r="AG12" i="10"/>
  <c r="B26" i="10"/>
  <c r="AI26" i="10"/>
  <c r="A27" i="10"/>
  <c r="M12" i="10"/>
  <c r="O12" i="10" s="1"/>
  <c r="W12" i="10"/>
  <c r="Z13" i="10"/>
  <c r="T13" i="10" s="1"/>
  <c r="AF12" i="10"/>
  <c r="X12" i="10"/>
  <c r="H14" i="10" l="1"/>
  <c r="Q14" i="10"/>
  <c r="K13" i="10"/>
  <c r="AD13" i="10"/>
  <c r="N13" i="10" s="1"/>
  <c r="P13" i="10" s="1"/>
  <c r="Y13" i="10"/>
  <c r="AE14" i="10"/>
  <c r="AH14" i="10"/>
  <c r="B27" i="10"/>
  <c r="AI27" i="10"/>
  <c r="A28" i="10"/>
  <c r="G13" i="10"/>
  <c r="AA15" i="10" l="1"/>
  <c r="U15" i="10" s="1"/>
  <c r="AE15" i="10" s="1"/>
  <c r="X13" i="10"/>
  <c r="Z14" i="10"/>
  <c r="S13" i="10"/>
  <c r="AC13" i="10"/>
  <c r="F13" i="10"/>
  <c r="I13" i="10"/>
  <c r="AB13" i="10"/>
  <c r="J13" i="10"/>
  <c r="A29" i="10"/>
  <c r="AI28" i="10"/>
  <c r="B28" i="10"/>
  <c r="AH15" i="10" l="1"/>
  <c r="Q15" i="10"/>
  <c r="G14" i="10"/>
  <c r="M13" i="10"/>
  <c r="O13" i="10" s="1"/>
  <c r="Y14" i="10" s="1"/>
  <c r="S14" i="10" s="1"/>
  <c r="W13" i="10"/>
  <c r="A30" i="10"/>
  <c r="B29" i="10"/>
  <c r="AI29" i="10"/>
  <c r="V13" i="10"/>
  <c r="L13" i="10"/>
  <c r="R13" i="10" s="1"/>
  <c r="AF13" i="10"/>
  <c r="AG13" i="10"/>
  <c r="T14" i="10"/>
  <c r="H15" i="10" s="1"/>
  <c r="AD14" i="10"/>
  <c r="K14" i="10"/>
  <c r="F14" i="10" l="1"/>
  <c r="AG14" i="10" s="1"/>
  <c r="AA16" i="10"/>
  <c r="AI30" i="10"/>
  <c r="A31" i="10"/>
  <c r="B30" i="10"/>
  <c r="N14" i="10"/>
  <c r="P14" i="10" s="1"/>
  <c r="X14" i="10"/>
  <c r="AB14" i="10"/>
  <c r="L14" i="10" s="1"/>
  <c r="R14" i="10" s="1"/>
  <c r="AC14" i="10"/>
  <c r="W14" i="10" s="1"/>
  <c r="I14" i="10"/>
  <c r="J14" i="10"/>
  <c r="AF14" i="10" l="1"/>
  <c r="M14" i="10"/>
  <c r="O14" i="10" s="1"/>
  <c r="Y15" i="10" s="1"/>
  <c r="V14" i="10"/>
  <c r="U16" i="10"/>
  <c r="Q16" i="10"/>
  <c r="Z15" i="10"/>
  <c r="B31" i="10"/>
  <c r="AI31" i="10"/>
  <c r="A32" i="10"/>
  <c r="S15" i="10" l="1"/>
  <c r="I15" i="10"/>
  <c r="AB15" i="10"/>
  <c r="L15" i="10" s="1"/>
  <c r="R15" i="10" s="1"/>
  <c r="J15" i="10"/>
  <c r="F15" i="10"/>
  <c r="AC15" i="10"/>
  <c r="W15" i="10" s="1"/>
  <c r="AI32" i="10"/>
  <c r="A33" i="10"/>
  <c r="B32" i="10"/>
  <c r="AH16" i="10"/>
  <c r="AE16" i="10"/>
  <c r="T15" i="10"/>
  <c r="H16" i="10" s="1"/>
  <c r="G15" i="10"/>
  <c r="K15" i="10"/>
  <c r="AD15" i="10"/>
  <c r="V15" i="10" l="1"/>
  <c r="AG15" i="10"/>
  <c r="M15" i="10"/>
  <c r="O15" i="10" s="1"/>
  <c r="Y16" i="10" s="1"/>
  <c r="AF15" i="10"/>
  <c r="AA17" i="10"/>
  <c r="A34" i="10"/>
  <c r="B33" i="10"/>
  <c r="AI33" i="10"/>
  <c r="N15" i="10"/>
  <c r="P15" i="10" s="1"/>
  <c r="X15" i="10"/>
  <c r="I16" i="10" l="1"/>
  <c r="AB16" i="10"/>
  <c r="V16" i="10" s="1"/>
  <c r="A35" i="10"/>
  <c r="AI34" i="10"/>
  <c r="B34" i="10"/>
  <c r="S16" i="10"/>
  <c r="F16" i="10"/>
  <c r="Z16" i="10"/>
  <c r="AC16" i="10" s="1"/>
  <c r="U17" i="10"/>
  <c r="Q17" i="10"/>
  <c r="L16" i="10" l="1"/>
  <c r="R16" i="10" s="1"/>
  <c r="M16" i="10"/>
  <c r="O16" i="10" s="1"/>
  <c r="Y17" i="10" s="1"/>
  <c r="W16" i="10"/>
  <c r="J16" i="10"/>
  <c r="AE17" i="10"/>
  <c r="AH17" i="10"/>
  <c r="AI35" i="10"/>
  <c r="B35" i="10"/>
  <c r="A36" i="10"/>
  <c r="T16" i="10"/>
  <c r="H17" i="10" s="1"/>
  <c r="G16" i="10"/>
  <c r="AF16" i="10" s="1"/>
  <c r="AD16" i="10"/>
  <c r="K16" i="10"/>
  <c r="AG16" i="10" l="1"/>
  <c r="S17" i="10"/>
  <c r="I17" i="10"/>
  <c r="AB17" i="10"/>
  <c r="F17" i="10"/>
  <c r="N16" i="10"/>
  <c r="P16" i="10" s="1"/>
  <c r="X16" i="10"/>
  <c r="AA18" i="10"/>
  <c r="AI36" i="10"/>
  <c r="B36" i="10"/>
  <c r="A37" i="10"/>
  <c r="AI37" i="10" l="1"/>
  <c r="A38" i="10"/>
  <c r="B37" i="10"/>
  <c r="L17" i="10"/>
  <c r="R17" i="10" s="1"/>
  <c r="V17" i="10"/>
  <c r="U18" i="10"/>
  <c r="Q18" i="10"/>
  <c r="Z17" i="10"/>
  <c r="B38" i="10" l="1"/>
  <c r="AI38" i="10"/>
  <c r="A39" i="10"/>
  <c r="T17" i="10"/>
  <c r="H18" i="10" s="1"/>
  <c r="AD17" i="10"/>
  <c r="G17" i="10"/>
  <c r="AC17" i="10"/>
  <c r="K17" i="10"/>
  <c r="J17" i="10"/>
  <c r="AH18" i="10"/>
  <c r="AE18" i="10"/>
  <c r="AF17" i="10" l="1"/>
  <c r="AG17" i="10"/>
  <c r="M17" i="10"/>
  <c r="O17" i="10" s="1"/>
  <c r="W17" i="10"/>
  <c r="N17" i="10"/>
  <c r="P17" i="10" s="1"/>
  <c r="X17" i="10"/>
  <c r="AA19" i="10"/>
  <c r="A40" i="10"/>
  <c r="B39" i="10"/>
  <c r="AI39" i="10"/>
  <c r="B40" i="10" l="1"/>
  <c r="A41" i="10"/>
  <c r="AI40" i="10"/>
  <c r="U19" i="10"/>
  <c r="Q19" i="10"/>
  <c r="Y18" i="10"/>
  <c r="Z18" i="10"/>
  <c r="S18" i="10" l="1"/>
  <c r="I18" i="10"/>
  <c r="F18" i="10"/>
  <c r="AB18" i="10"/>
  <c r="J18" i="10"/>
  <c r="AC18" i="10"/>
  <c r="T18" i="10"/>
  <c r="H19" i="10" s="1"/>
  <c r="AD18" i="10"/>
  <c r="K18" i="10"/>
  <c r="G18" i="10"/>
  <c r="AE19" i="10"/>
  <c r="AH19" i="10"/>
  <c r="A42" i="10"/>
  <c r="B41" i="10"/>
  <c r="AI41" i="10"/>
  <c r="AI42" i="10" l="1"/>
  <c r="A43" i="10"/>
  <c r="B42" i="10"/>
  <c r="AA20" i="10"/>
  <c r="X18" i="10"/>
  <c r="N18" i="10"/>
  <c r="P18" i="10" s="1"/>
  <c r="M18" i="10"/>
  <c r="O18" i="10" s="1"/>
  <c r="W18" i="10"/>
  <c r="V18" i="10"/>
  <c r="L18" i="10"/>
  <c r="R18" i="10" s="1"/>
  <c r="AG18" i="10"/>
  <c r="AF18" i="10"/>
  <c r="Z19" i="10" l="1"/>
  <c r="Y19" i="10"/>
  <c r="AB19" i="10" s="1"/>
  <c r="V19" i="10" s="1"/>
  <c r="B43" i="10"/>
  <c r="AI43" i="10"/>
  <c r="A44" i="10"/>
  <c r="U20" i="10"/>
  <c r="Q20" i="10"/>
  <c r="L19" i="10" l="1"/>
  <c r="R19" i="10" s="1"/>
  <c r="AH20" i="10"/>
  <c r="AE20" i="10"/>
  <c r="S19" i="10"/>
  <c r="AC19" i="10"/>
  <c r="J19" i="10"/>
  <c r="A45" i="10"/>
  <c r="AI44" i="10"/>
  <c r="B44" i="10"/>
  <c r="T19" i="10"/>
  <c r="H20" i="10" s="1"/>
  <c r="K19" i="10"/>
  <c r="G19" i="10"/>
  <c r="AD19" i="10"/>
  <c r="I19" i="10"/>
  <c r="F19" i="10"/>
  <c r="AG19" i="10" l="1"/>
  <c r="AF19" i="10"/>
  <c r="B45" i="10"/>
  <c r="A46" i="10"/>
  <c r="AI45" i="10"/>
  <c r="N19" i="10"/>
  <c r="P19" i="10" s="1"/>
  <c r="Z20" i="10" s="1"/>
  <c r="X19" i="10"/>
  <c r="AA21" i="10"/>
  <c r="W19" i="10"/>
  <c r="M19" i="10"/>
  <c r="O19" i="10" s="1"/>
  <c r="Y20" i="10" s="1"/>
  <c r="S20" i="10" l="1"/>
  <c r="AB20" i="10"/>
  <c r="L20" i="10" s="1"/>
  <c r="R20" i="10" s="1"/>
  <c r="I20" i="10"/>
  <c r="T20" i="10"/>
  <c r="H21" i="10" s="1"/>
  <c r="G20" i="10"/>
  <c r="AC20" i="10"/>
  <c r="M20" i="10" s="1"/>
  <c r="O20" i="10" s="1"/>
  <c r="AD20" i="10"/>
  <c r="X20" i="10" s="1"/>
  <c r="K20" i="10"/>
  <c r="J20" i="10"/>
  <c r="U21" i="10"/>
  <c r="Q21" i="10"/>
  <c r="AI46" i="10"/>
  <c r="B46" i="10"/>
  <c r="A47" i="10"/>
  <c r="F20" i="10"/>
  <c r="V20" i="10" l="1"/>
  <c r="N20" i="10"/>
  <c r="P20" i="10" s="1"/>
  <c r="Z21" i="10" s="1"/>
  <c r="T21" i="10" s="1"/>
  <c r="AG20" i="10"/>
  <c r="Y21" i="10"/>
  <c r="S21" i="10" s="1"/>
  <c r="AF20" i="10"/>
  <c r="W20" i="10"/>
  <c r="AI47" i="10"/>
  <c r="A48" i="10"/>
  <c r="B47" i="10"/>
  <c r="AE21" i="10"/>
  <c r="AH21" i="10"/>
  <c r="AA22" i="10"/>
  <c r="U22" i="10" s="1"/>
  <c r="AB21" i="10" l="1"/>
  <c r="L21" i="10" s="1"/>
  <c r="R21" i="10" s="1"/>
  <c r="I21" i="10"/>
  <c r="Q22" i="10"/>
  <c r="H22" i="10"/>
  <c r="K21" i="10"/>
  <c r="J21" i="10"/>
  <c r="AD21" i="10"/>
  <c r="N21" i="10" s="1"/>
  <c r="P21" i="10" s="1"/>
  <c r="AC21" i="10"/>
  <c r="W21" i="10" s="1"/>
  <c r="F21" i="10"/>
  <c r="B48" i="10"/>
  <c r="AI48" i="10"/>
  <c r="A49" i="10"/>
  <c r="AE22" i="10"/>
  <c r="AH22" i="10"/>
  <c r="G21" i="10"/>
  <c r="M21" i="10" l="1"/>
  <c r="O21" i="10" s="1"/>
  <c r="Y22" i="10" s="1"/>
  <c r="AF21" i="10"/>
  <c r="X21" i="10"/>
  <c r="V21" i="10"/>
  <c r="AA23" i="10"/>
  <c r="U23" i="10" s="1"/>
  <c r="AE23" i="10" s="1"/>
  <c r="A50" i="10"/>
  <c r="AI49" i="10"/>
  <c r="B49" i="10"/>
  <c r="Z22" i="10"/>
  <c r="AG21" i="10"/>
  <c r="AH23" i="10" l="1"/>
  <c r="Q23" i="10"/>
  <c r="S22" i="10"/>
  <c r="F22" i="10"/>
  <c r="AC22" i="10"/>
  <c r="J22" i="10"/>
  <c r="AB22" i="10"/>
  <c r="I22" i="10"/>
  <c r="T22" i="10"/>
  <c r="H23" i="10" s="1"/>
  <c r="AD22" i="10"/>
  <c r="K22" i="10"/>
  <c r="G22" i="10"/>
  <c r="B50" i="10"/>
  <c r="A51" i="10"/>
  <c r="AI50" i="10"/>
  <c r="X22" i="10" l="1"/>
  <c r="N22" i="10"/>
  <c r="P22" i="10" s="1"/>
  <c r="Z23" i="10" s="1"/>
  <c r="A52" i="10"/>
  <c r="AI51" i="10"/>
  <c r="B51" i="10"/>
  <c r="W22" i="10"/>
  <c r="M22" i="10"/>
  <c r="O22" i="10" s="1"/>
  <c r="AA24" i="10"/>
  <c r="L22" i="10"/>
  <c r="R22" i="10" s="1"/>
  <c r="V22" i="10"/>
  <c r="AF22" i="10"/>
  <c r="AG22" i="10"/>
  <c r="T23" i="10" l="1"/>
  <c r="H24" i="10" s="1"/>
  <c r="AD23" i="10"/>
  <c r="N23" i="10" s="1"/>
  <c r="P23" i="10" s="1"/>
  <c r="K23" i="10"/>
  <c r="G23" i="10"/>
  <c r="B52" i="10"/>
  <c r="A53" i="10"/>
  <c r="AI52" i="10"/>
  <c r="U24" i="10"/>
  <c r="Q24" i="10"/>
  <c r="Y23" i="10"/>
  <c r="X23" i="10" l="1"/>
  <c r="AA25" i="10"/>
  <c r="U25" i="10" s="1"/>
  <c r="AH25" i="10" s="1"/>
  <c r="S23" i="10"/>
  <c r="AC23" i="10"/>
  <c r="J23" i="10"/>
  <c r="I23" i="10"/>
  <c r="AE24" i="10"/>
  <c r="AH24" i="10"/>
  <c r="AB23" i="10"/>
  <c r="A54" i="10"/>
  <c r="AI53" i="10"/>
  <c r="B53" i="10"/>
  <c r="Z24" i="10"/>
  <c r="F23" i="10"/>
  <c r="Q25" i="10" l="1"/>
  <c r="AE25" i="10"/>
  <c r="AG23" i="10"/>
  <c r="AF23" i="10"/>
  <c r="T24" i="10"/>
  <c r="H25" i="10" s="1"/>
  <c r="K24" i="10"/>
  <c r="AD24" i="10"/>
  <c r="G24" i="10"/>
  <c r="A55" i="10"/>
  <c r="B54" i="10"/>
  <c r="AI54" i="10"/>
  <c r="V23" i="10"/>
  <c r="L23" i="10"/>
  <c r="R23" i="10" s="1"/>
  <c r="M23" i="10"/>
  <c r="O23" i="10" s="1"/>
  <c r="W23" i="10"/>
  <c r="AA26" i="10" l="1"/>
  <c r="AI55" i="10"/>
  <c r="B55" i="10"/>
  <c r="A56" i="10"/>
  <c r="N24" i="10"/>
  <c r="P24" i="10" s="1"/>
  <c r="X24" i="10"/>
  <c r="Y24" i="10"/>
  <c r="S24" i="10" l="1"/>
  <c r="AC24" i="10"/>
  <c r="J24" i="10"/>
  <c r="B56" i="10"/>
  <c r="AI56" i="10"/>
  <c r="A57" i="10"/>
  <c r="AB24" i="10"/>
  <c r="I24" i="10"/>
  <c r="U26" i="10"/>
  <c r="Q26" i="10"/>
  <c r="Z25" i="10"/>
  <c r="F24" i="10"/>
  <c r="T25" i="10" l="1"/>
  <c r="H26" i="10" s="1"/>
  <c r="K25" i="10"/>
  <c r="AD25" i="10"/>
  <c r="AH26" i="10"/>
  <c r="AE26" i="10"/>
  <c r="B57" i="10"/>
  <c r="A58" i="10"/>
  <c r="AI57" i="10"/>
  <c r="AF24" i="10"/>
  <c r="AG24" i="10"/>
  <c r="L24" i="10"/>
  <c r="R24" i="10" s="1"/>
  <c r="V24" i="10"/>
  <c r="W24" i="10"/>
  <c r="M24" i="10"/>
  <c r="O24" i="10" s="1"/>
  <c r="Y25" i="10" s="1"/>
  <c r="G25" i="10"/>
  <c r="S25" i="10" l="1"/>
  <c r="J25" i="10"/>
  <c r="AC25" i="10"/>
  <c r="W25" i="10" s="1"/>
  <c r="F25" i="10"/>
  <c r="AG25" i="10" s="1"/>
  <c r="I25" i="10"/>
  <c r="AB25" i="10"/>
  <c r="V25" i="10" s="1"/>
  <c r="AI58" i="10"/>
  <c r="A59" i="10"/>
  <c r="B58" i="10"/>
  <c r="X25" i="10"/>
  <c r="N25" i="10"/>
  <c r="P25" i="10" s="1"/>
  <c r="AA27" i="10"/>
  <c r="L25" i="10" l="1"/>
  <c r="R25" i="10" s="1"/>
  <c r="M25" i="10"/>
  <c r="O25" i="10" s="1"/>
  <c r="Y26" i="10" s="1"/>
  <c r="AF25" i="10"/>
  <c r="A60" i="10"/>
  <c r="AI59" i="10"/>
  <c r="B59" i="10"/>
  <c r="Z26" i="10"/>
  <c r="U27" i="10"/>
  <c r="Q27" i="10"/>
  <c r="S26" i="10" l="1"/>
  <c r="J26" i="10"/>
  <c r="AC26" i="10"/>
  <c r="AB26" i="10"/>
  <c r="I26" i="10"/>
  <c r="AH27" i="10"/>
  <c r="AE27" i="10"/>
  <c r="T26" i="10"/>
  <c r="H27" i="10" s="1"/>
  <c r="K26" i="10"/>
  <c r="G26" i="10"/>
  <c r="AD26" i="10"/>
  <c r="AI60" i="10"/>
  <c r="B60" i="10"/>
  <c r="A61" i="10"/>
  <c r="F26" i="10"/>
  <c r="AF26" i="10" l="1"/>
  <c r="AG26" i="10"/>
  <c r="A62" i="10"/>
  <c r="B61" i="10"/>
  <c r="AI61" i="10"/>
  <c r="X26" i="10"/>
  <c r="N26" i="10"/>
  <c r="P26" i="10" s="1"/>
  <c r="Z27" i="10" s="1"/>
  <c r="T27" i="10" s="1"/>
  <c r="W26" i="10"/>
  <c r="M26" i="10"/>
  <c r="O26" i="10" s="1"/>
  <c r="AA28" i="10"/>
  <c r="L26" i="10"/>
  <c r="R26" i="10" s="1"/>
  <c r="V26" i="10"/>
  <c r="H28" i="10" l="1"/>
  <c r="G27" i="10"/>
  <c r="AD27" i="10"/>
  <c r="X27" i="10" s="1"/>
  <c r="K27" i="10"/>
  <c r="U28" i="10"/>
  <c r="Q28" i="10"/>
  <c r="AI62" i="10"/>
  <c r="B62" i="10"/>
  <c r="Y27" i="10"/>
  <c r="N27" i="10" l="1"/>
  <c r="P27" i="10" s="1"/>
  <c r="Z28" i="10" s="1"/>
  <c r="T28" i="10" s="1"/>
  <c r="AH28" i="10"/>
  <c r="AE28" i="10"/>
  <c r="S27" i="10"/>
  <c r="J27" i="10"/>
  <c r="AC27" i="10"/>
  <c r="AB27" i="10"/>
  <c r="I27" i="10"/>
  <c r="AA29" i="10"/>
  <c r="U29" i="10" s="1"/>
  <c r="F27" i="10"/>
  <c r="K28" i="10" l="1"/>
  <c r="AD28" i="10"/>
  <c r="X28" i="10" s="1"/>
  <c r="G28" i="10"/>
  <c r="AE29" i="10"/>
  <c r="AH29" i="10"/>
  <c r="Q29" i="10"/>
  <c r="AG27" i="10"/>
  <c r="AF27" i="10"/>
  <c r="V27" i="10"/>
  <c r="L27" i="10"/>
  <c r="R27" i="10" s="1"/>
  <c r="W27" i="10"/>
  <c r="M27" i="10"/>
  <c r="O27" i="10" s="1"/>
  <c r="H29" i="10"/>
  <c r="N28" i="10" l="1"/>
  <c r="P28" i="10" s="1"/>
  <c r="Z29" i="10" s="1"/>
  <c r="Y28" i="10"/>
  <c r="I28" i="10" s="1"/>
  <c r="AA30" i="10"/>
  <c r="U30" i="10" s="1"/>
  <c r="AB28" i="10" l="1"/>
  <c r="V28" i="10" s="1"/>
  <c r="AH30" i="10"/>
  <c r="AE30" i="10"/>
  <c r="Q30" i="10"/>
  <c r="S28" i="10"/>
  <c r="G29" i="10" s="1"/>
  <c r="AC28" i="10"/>
  <c r="J28" i="10"/>
  <c r="T29" i="10"/>
  <c r="H30" i="10" s="1"/>
  <c r="K29" i="10"/>
  <c r="AD29" i="10"/>
  <c r="F28" i="10"/>
  <c r="L28" i="10" l="1"/>
  <c r="R28" i="10" s="1"/>
  <c r="M28" i="10"/>
  <c r="O28" i="10" s="1"/>
  <c r="Y29" i="10" s="1"/>
  <c r="S29" i="10" s="1"/>
  <c r="W28" i="10"/>
  <c r="N29" i="10"/>
  <c r="P29" i="10" s="1"/>
  <c r="Z30" i="10" s="1"/>
  <c r="X29" i="10"/>
  <c r="AA31" i="10"/>
  <c r="U31" i="10" s="1"/>
  <c r="AF28" i="10"/>
  <c r="AG28" i="10"/>
  <c r="AB29" i="10" l="1"/>
  <c r="V29" i="10" s="1"/>
  <c r="Q31" i="10"/>
  <c r="T30" i="10"/>
  <c r="H31" i="10" s="1"/>
  <c r="K30" i="10"/>
  <c r="AD30" i="10"/>
  <c r="X30" i="10" s="1"/>
  <c r="G30" i="10"/>
  <c r="I29" i="10"/>
  <c r="AE31" i="10"/>
  <c r="AH31" i="10"/>
  <c r="F29" i="10"/>
  <c r="AC29" i="10"/>
  <c r="M29" i="10" s="1"/>
  <c r="O29" i="10" s="1"/>
  <c r="J29" i="10"/>
  <c r="N30" i="10" l="1"/>
  <c r="P30" i="10" s="1"/>
  <c r="Z31" i="10" s="1"/>
  <c r="L29" i="10"/>
  <c r="R29" i="10" s="1"/>
  <c r="AA32" i="10"/>
  <c r="U32" i="10" s="1"/>
  <c r="W29" i="10"/>
  <c r="AF29" i="10"/>
  <c r="AG29" i="10"/>
  <c r="Y30" i="10"/>
  <c r="F30" i="10" l="1"/>
  <c r="AF30" i="10" s="1"/>
  <c r="Q32" i="10"/>
  <c r="AH32" i="10"/>
  <c r="AE32" i="10"/>
  <c r="S30" i="10"/>
  <c r="G31" i="10" s="1"/>
  <c r="I30" i="10"/>
  <c r="AB30" i="10"/>
  <c r="J30" i="10"/>
  <c r="AC30" i="10"/>
  <c r="T31" i="10"/>
  <c r="H32" i="10" s="1"/>
  <c r="AD31" i="10"/>
  <c r="K31" i="10"/>
  <c r="AG30" i="10" l="1"/>
  <c r="N31" i="10"/>
  <c r="P31" i="10" s="1"/>
  <c r="Z32" i="10" s="1"/>
  <c r="T32" i="10" s="1"/>
  <c r="X31" i="10"/>
  <c r="M30" i="10"/>
  <c r="O30" i="10" s="1"/>
  <c r="W30" i="10"/>
  <c r="L30" i="10"/>
  <c r="R30" i="10" s="1"/>
  <c r="V30" i="10"/>
  <c r="AA33" i="10"/>
  <c r="H33" i="10" l="1"/>
  <c r="Y31" i="10"/>
  <c r="F31" i="10" s="1"/>
  <c r="U33" i="10"/>
  <c r="Q33" i="10"/>
  <c r="AD32" i="10"/>
  <c r="N32" i="10" s="1"/>
  <c r="P32" i="10" s="1"/>
  <c r="K32" i="10"/>
  <c r="AF31" i="10" l="1"/>
  <c r="AG31" i="10"/>
  <c r="X32" i="10"/>
  <c r="AE33" i="10"/>
  <c r="AH33" i="10"/>
  <c r="S31" i="10"/>
  <c r="G32" i="10" s="1"/>
  <c r="J31" i="10"/>
  <c r="I31" i="10"/>
  <c r="AC31" i="10"/>
  <c r="AB31" i="10"/>
  <c r="AA34" i="10"/>
  <c r="U34" i="10" s="1"/>
  <c r="AH34" i="10" l="1"/>
  <c r="AE34" i="10"/>
  <c r="M31" i="10"/>
  <c r="O31" i="10" s="1"/>
  <c r="W31" i="10"/>
  <c r="L31" i="10"/>
  <c r="R31" i="10" s="1"/>
  <c r="V31" i="10"/>
  <c r="Z33" i="10"/>
  <c r="Q34" i="10"/>
  <c r="T33" i="10" l="1"/>
  <c r="H34" i="10" s="1"/>
  <c r="AD33" i="10"/>
  <c r="K33" i="10"/>
  <c r="Y32" i="10"/>
  <c r="S32" i="10" l="1"/>
  <c r="G33" i="10" s="1"/>
  <c r="J32" i="10"/>
  <c r="I32" i="10"/>
  <c r="AB32" i="10"/>
  <c r="AC32" i="10"/>
  <c r="F32" i="10"/>
  <c r="X33" i="10"/>
  <c r="N33" i="10"/>
  <c r="P33" i="10" s="1"/>
  <c r="AA35" i="10"/>
  <c r="U35" i="10" l="1"/>
  <c r="Q35" i="10"/>
  <c r="W32" i="10"/>
  <c r="M32" i="10"/>
  <c r="O32" i="10" s="1"/>
  <c r="Y33" i="10" s="1"/>
  <c r="S33" i="10" s="1"/>
  <c r="AF32" i="10"/>
  <c r="AG32" i="10"/>
  <c r="V32" i="10"/>
  <c r="L32" i="10"/>
  <c r="R32" i="10" s="1"/>
  <c r="Z34" i="10"/>
  <c r="F33" i="10" l="1"/>
  <c r="AF33" i="10" s="1"/>
  <c r="I33" i="10"/>
  <c r="T34" i="10"/>
  <c r="H35" i="10" s="1"/>
  <c r="AD34" i="10"/>
  <c r="K34" i="10"/>
  <c r="AB33" i="10"/>
  <c r="L33" i="10" s="1"/>
  <c r="R33" i="10" s="1"/>
  <c r="AC33" i="10"/>
  <c r="W33" i="10" s="1"/>
  <c r="G34" i="10"/>
  <c r="AH35" i="10"/>
  <c r="AE35" i="10"/>
  <c r="J33" i="10"/>
  <c r="M33" i="10" l="1"/>
  <c r="O33" i="10" s="1"/>
  <c r="Y34" i="10" s="1"/>
  <c r="S34" i="10" s="1"/>
  <c r="V33" i="10"/>
  <c r="AG33" i="10"/>
  <c r="N34" i="10"/>
  <c r="P34" i="10" s="1"/>
  <c r="Z35" i="10" s="1"/>
  <c r="T35" i="10" s="1"/>
  <c r="X34" i="10"/>
  <c r="AA36" i="10"/>
  <c r="I34" i="10" l="1"/>
  <c r="AB34" i="10"/>
  <c r="L34" i="10" s="1"/>
  <c r="R34" i="10" s="1"/>
  <c r="J34" i="10"/>
  <c r="AC34" i="10"/>
  <c r="H36" i="10"/>
  <c r="AD35" i="10"/>
  <c r="X35" i="10" s="1"/>
  <c r="K35" i="10"/>
  <c r="U36" i="10"/>
  <c r="Q36" i="10"/>
  <c r="G35" i="10"/>
  <c r="F34" i="10"/>
  <c r="V34" i="10" l="1"/>
  <c r="N35" i="10"/>
  <c r="P35" i="10" s="1"/>
  <c r="Z36" i="10" s="1"/>
  <c r="T36" i="10" s="1"/>
  <c r="M34" i="10"/>
  <c r="O34" i="10" s="1"/>
  <c r="Y35" i="10" s="1"/>
  <c r="F35" i="10" s="1"/>
  <c r="W34" i="10"/>
  <c r="AG34" i="10"/>
  <c r="AF34" i="10"/>
  <c r="AH36" i="10"/>
  <c r="AE36" i="10"/>
  <c r="AA37" i="10"/>
  <c r="U37" i="10" s="1"/>
  <c r="AD36" i="10" l="1"/>
  <c r="X36" i="10" s="1"/>
  <c r="K36" i="10"/>
  <c r="Q37" i="10"/>
  <c r="S35" i="10"/>
  <c r="G36" i="10" s="1"/>
  <c r="AC35" i="10"/>
  <c r="J35" i="10"/>
  <c r="AB35" i="10"/>
  <c r="I35" i="10"/>
  <c r="AH37" i="10"/>
  <c r="AE37" i="10"/>
  <c r="H37" i="10"/>
  <c r="AG35" i="10"/>
  <c r="AF35" i="10"/>
  <c r="N36" i="10" l="1"/>
  <c r="P36" i="10" s="1"/>
  <c r="Z37" i="10" s="1"/>
  <c r="V35" i="10"/>
  <c r="L35" i="10"/>
  <c r="R35" i="10" s="1"/>
  <c r="AA38" i="10"/>
  <c r="U38" i="10" s="1"/>
  <c r="W35" i="10"/>
  <c r="M35" i="10"/>
  <c r="O35" i="10" s="1"/>
  <c r="Y36" i="10" l="1"/>
  <c r="AB36" i="10" s="1"/>
  <c r="V36" i="10" s="1"/>
  <c r="T37" i="10"/>
  <c r="H38" i="10" s="1"/>
  <c r="K37" i="10"/>
  <c r="AD37" i="10"/>
  <c r="AH38" i="10"/>
  <c r="AE38" i="10"/>
  <c r="Q38" i="10"/>
  <c r="F36" i="10" l="1"/>
  <c r="AF36" i="10" s="1"/>
  <c r="I36" i="10"/>
  <c r="L36" i="10"/>
  <c r="R36" i="10" s="1"/>
  <c r="X37" i="10"/>
  <c r="N37" i="10"/>
  <c r="P37" i="10" s="1"/>
  <c r="AA39" i="10"/>
  <c r="U39" i="10" s="1"/>
  <c r="S36" i="10"/>
  <c r="G37" i="10" s="1"/>
  <c r="J36" i="10"/>
  <c r="AC36" i="10"/>
  <c r="AG36" i="10" l="1"/>
  <c r="Z38" i="10"/>
  <c r="M36" i="10"/>
  <c r="O36" i="10" s="1"/>
  <c r="W36" i="10"/>
  <c r="AE39" i="10"/>
  <c r="AH39" i="10"/>
  <c r="Q39" i="10"/>
  <c r="Y37" i="10" l="1"/>
  <c r="T38" i="10"/>
  <c r="H39" i="10" s="1"/>
  <c r="AD38" i="10"/>
  <c r="K38" i="10"/>
  <c r="X38" i="10" l="1"/>
  <c r="N38" i="10"/>
  <c r="P38" i="10" s="1"/>
  <c r="AA40" i="10"/>
  <c r="S37" i="10"/>
  <c r="G38" i="10" s="1"/>
  <c r="F37" i="10"/>
  <c r="J37" i="10"/>
  <c r="AC37" i="10"/>
  <c r="AB37" i="10"/>
  <c r="I37" i="10"/>
  <c r="V37" i="10" l="1"/>
  <c r="L37" i="10"/>
  <c r="R37" i="10" s="1"/>
  <c r="W37" i="10"/>
  <c r="M37" i="10"/>
  <c r="O37" i="10" s="1"/>
  <c r="Y38" i="10" s="1"/>
  <c r="S38" i="10" s="1"/>
  <c r="AF37" i="10"/>
  <c r="AG37" i="10"/>
  <c r="Z39" i="10"/>
  <c r="U40" i="10"/>
  <c r="Q40" i="10"/>
  <c r="F38" i="10" l="1"/>
  <c r="AF38" i="10" s="1"/>
  <c r="I38" i="10"/>
  <c r="AE40" i="10"/>
  <c r="AH40" i="10"/>
  <c r="AC38" i="10"/>
  <c r="M38" i="10" s="1"/>
  <c r="O38" i="10" s="1"/>
  <c r="T39" i="10"/>
  <c r="H40" i="10" s="1"/>
  <c r="AD39" i="10"/>
  <c r="K39" i="10"/>
  <c r="G39" i="10"/>
  <c r="J38" i="10"/>
  <c r="AB38" i="10"/>
  <c r="V38" i="10" s="1"/>
  <c r="W38" i="10" l="1"/>
  <c r="AG38" i="10"/>
  <c r="L38" i="10"/>
  <c r="R38" i="10" s="1"/>
  <c r="Y39" i="10"/>
  <c r="S39" i="10" s="1"/>
  <c r="AA41" i="10"/>
  <c r="X39" i="10"/>
  <c r="N39" i="10"/>
  <c r="P39" i="10" s="1"/>
  <c r="AB39" i="10" l="1"/>
  <c r="V39" i="10" s="1"/>
  <c r="I39" i="10"/>
  <c r="AC39" i="10"/>
  <c r="W39" i="10" s="1"/>
  <c r="J39" i="10"/>
  <c r="U41" i="10"/>
  <c r="Q41" i="10"/>
  <c r="Z40" i="10"/>
  <c r="F39" i="10"/>
  <c r="L39" i="10" l="1"/>
  <c r="R39" i="10" s="1"/>
  <c r="M39" i="10"/>
  <c r="O39" i="10" s="1"/>
  <c r="Y40" i="10" s="1"/>
  <c r="AG39" i="10"/>
  <c r="AF39" i="10"/>
  <c r="T40" i="10"/>
  <c r="H41" i="10" s="1"/>
  <c r="G40" i="10"/>
  <c r="AD40" i="10"/>
  <c r="K40" i="10"/>
  <c r="AE41" i="10"/>
  <c r="AH41" i="10"/>
  <c r="I40" i="10" l="1"/>
  <c r="AB40" i="10"/>
  <c r="L40" i="10" s="1"/>
  <c r="R40" i="10" s="1"/>
  <c r="X40" i="10"/>
  <c r="N40" i="10"/>
  <c r="P40" i="10" s="1"/>
  <c r="AA42" i="10"/>
  <c r="S40" i="10"/>
  <c r="AC40" i="10"/>
  <c r="J40" i="10"/>
  <c r="F40" i="10"/>
  <c r="V40" i="10" l="1"/>
  <c r="AF40" i="10"/>
  <c r="AG40" i="10"/>
  <c r="W40" i="10"/>
  <c r="M40" i="10"/>
  <c r="O40" i="10" s="1"/>
  <c r="U42" i="10"/>
  <c r="Q42" i="10"/>
  <c r="Z41" i="10"/>
  <c r="AE42" i="10" l="1"/>
  <c r="AH42" i="10"/>
  <c r="T41" i="10"/>
  <c r="H42" i="10" s="1"/>
  <c r="AD41" i="10"/>
  <c r="K41" i="10"/>
  <c r="Y41" i="10"/>
  <c r="G41" i="10"/>
  <c r="S41" i="10" l="1"/>
  <c r="AB41" i="10"/>
  <c r="I41" i="10"/>
  <c r="J41" i="10"/>
  <c r="AC41" i="10"/>
  <c r="F41" i="10"/>
  <c r="N41" i="10"/>
  <c r="P41" i="10" s="1"/>
  <c r="X41" i="10"/>
  <c r="AA43" i="10"/>
  <c r="U43" i="10" l="1"/>
  <c r="Q43" i="10"/>
  <c r="AF41" i="10"/>
  <c r="AG41" i="10"/>
  <c r="Z42" i="10"/>
  <c r="M41" i="10"/>
  <c r="O41" i="10" s="1"/>
  <c r="W41" i="10"/>
  <c r="V41" i="10"/>
  <c r="L41" i="10"/>
  <c r="R41" i="10" s="1"/>
  <c r="T42" i="10" l="1"/>
  <c r="H43" i="10" s="1"/>
  <c r="G42" i="10"/>
  <c r="AD42" i="10"/>
  <c r="K42" i="10"/>
  <c r="Y42" i="10"/>
  <c r="AH43" i="10"/>
  <c r="AE43" i="10"/>
  <c r="S42" i="10" l="1"/>
  <c r="AC42" i="10"/>
  <c r="J42" i="10"/>
  <c r="AB42" i="10"/>
  <c r="N42" i="10"/>
  <c r="P42" i="10" s="1"/>
  <c r="X42" i="10"/>
  <c r="AA44" i="10"/>
  <c r="I42" i="10"/>
  <c r="F42" i="10"/>
  <c r="AF42" i="10" l="1"/>
  <c r="AG42" i="10"/>
  <c r="U44" i="10"/>
  <c r="Q44" i="10"/>
  <c r="V42" i="10"/>
  <c r="L42" i="10"/>
  <c r="R42" i="10" s="1"/>
  <c r="Z43" i="10"/>
  <c r="W42" i="10"/>
  <c r="M42" i="10"/>
  <c r="O42" i="10" s="1"/>
  <c r="T43" i="10" l="1"/>
  <c r="H44" i="10" s="1"/>
  <c r="AD43" i="10"/>
  <c r="K43" i="10"/>
  <c r="G43" i="10"/>
  <c r="AE44" i="10"/>
  <c r="AH44" i="10"/>
  <c r="Y43" i="10"/>
  <c r="S43" i="10" l="1"/>
  <c r="J43" i="10"/>
  <c r="AC43" i="10"/>
  <c r="AB43" i="10"/>
  <c r="I43" i="10"/>
  <c r="N43" i="10"/>
  <c r="P43" i="10" s="1"/>
  <c r="Z44" i="10" s="1"/>
  <c r="T44" i="10" s="1"/>
  <c r="X43" i="10"/>
  <c r="AA45" i="10"/>
  <c r="F43" i="10"/>
  <c r="H45" i="10" l="1"/>
  <c r="U45" i="10"/>
  <c r="Q45" i="10"/>
  <c r="G44" i="10"/>
  <c r="M43" i="10"/>
  <c r="O43" i="10" s="1"/>
  <c r="W43" i="10"/>
  <c r="AG43" i="10"/>
  <c r="AF43" i="10"/>
  <c r="K44" i="10"/>
  <c r="AD44" i="10"/>
  <c r="X44" i="10" s="1"/>
  <c r="V43" i="10"/>
  <c r="L43" i="10"/>
  <c r="R43" i="10" s="1"/>
  <c r="Y44" i="10" l="1"/>
  <c r="N44" i="10"/>
  <c r="P44" i="10" s="1"/>
  <c r="AH45" i="10"/>
  <c r="AE45" i="10"/>
  <c r="AA46" i="10"/>
  <c r="U46" i="10" s="1"/>
  <c r="AE46" i="10" l="1"/>
  <c r="AH46" i="10"/>
  <c r="Q46" i="10"/>
  <c r="S44" i="10"/>
  <c r="AC44" i="10"/>
  <c r="J44" i="10"/>
  <c r="I44" i="10"/>
  <c r="Z45" i="10"/>
  <c r="AB44" i="10"/>
  <c r="F44" i="10"/>
  <c r="L44" i="10" l="1"/>
  <c r="R44" i="10" s="1"/>
  <c r="V44" i="10"/>
  <c r="AF44" i="10"/>
  <c r="AG44" i="10"/>
  <c r="T45" i="10"/>
  <c r="H46" i="10" s="1"/>
  <c r="K45" i="10"/>
  <c r="AD45" i="10"/>
  <c r="W44" i="10"/>
  <c r="M44" i="10"/>
  <c r="O44" i="10" s="1"/>
  <c r="G45" i="10"/>
  <c r="X45" i="10" l="1"/>
  <c r="N45" i="10"/>
  <c r="P45" i="10" s="1"/>
  <c r="AA47" i="10"/>
  <c r="Y45" i="10"/>
  <c r="S45" i="10" l="1"/>
  <c r="I45" i="10"/>
  <c r="F45" i="10"/>
  <c r="AB45" i="10"/>
  <c r="AC45" i="10"/>
  <c r="J45" i="10"/>
  <c r="U47" i="10"/>
  <c r="Q47" i="10"/>
  <c r="Z46" i="10"/>
  <c r="T46" i="10" l="1"/>
  <c r="H47" i="10" s="1"/>
  <c r="K46" i="10"/>
  <c r="AD46" i="10"/>
  <c r="AE47" i="10"/>
  <c r="AH47" i="10"/>
  <c r="M45" i="10"/>
  <c r="O45" i="10" s="1"/>
  <c r="Y46" i="10" s="1"/>
  <c r="S46" i="10" s="1"/>
  <c r="W45" i="10"/>
  <c r="L45" i="10"/>
  <c r="R45" i="10" s="1"/>
  <c r="V45" i="10"/>
  <c r="AF45" i="10"/>
  <c r="AG45" i="10"/>
  <c r="G46" i="10"/>
  <c r="AB46" i="10" l="1"/>
  <c r="L46" i="10" s="1"/>
  <c r="R46" i="10" s="1"/>
  <c r="F46" i="10"/>
  <c r="J46" i="10"/>
  <c r="AC46" i="10"/>
  <c r="W46" i="10" s="1"/>
  <c r="I46" i="10"/>
  <c r="N46" i="10"/>
  <c r="P46" i="10" s="1"/>
  <c r="X46" i="10"/>
  <c r="AA48" i="10"/>
  <c r="M46" i="10" l="1"/>
  <c r="O46" i="10" s="1"/>
  <c r="Y47" i="10" s="1"/>
  <c r="S47" i="10" s="1"/>
  <c r="AF46" i="10"/>
  <c r="AG46" i="10"/>
  <c r="U48" i="10"/>
  <c r="Q48" i="10"/>
  <c r="Z47" i="10"/>
  <c r="V46" i="10"/>
  <c r="T47" i="10" l="1"/>
  <c r="H48" i="10" s="1"/>
  <c r="K47" i="10"/>
  <c r="AD47" i="10"/>
  <c r="G47" i="10"/>
  <c r="AB47" i="10"/>
  <c r="L47" i="10" s="1"/>
  <c r="R47" i="10" s="1"/>
  <c r="AE48" i="10"/>
  <c r="AH48" i="10"/>
  <c r="F47" i="10"/>
  <c r="J47" i="10"/>
  <c r="AC47" i="10"/>
  <c r="I47" i="10"/>
  <c r="V47" i="10" l="1"/>
  <c r="M47" i="10"/>
  <c r="O47" i="10" s="1"/>
  <c r="Y48" i="10" s="1"/>
  <c r="W47" i="10"/>
  <c r="AF47" i="10"/>
  <c r="AG47" i="10"/>
  <c r="X47" i="10"/>
  <c r="N47" i="10"/>
  <c r="P47" i="10" s="1"/>
  <c r="Z48" i="10" s="1"/>
  <c r="AA49" i="10"/>
  <c r="S48" i="10" l="1"/>
  <c r="I48" i="10"/>
  <c r="AB48" i="10"/>
  <c r="L48" i="10" s="1"/>
  <c r="R48" i="10" s="1"/>
  <c r="T48" i="10"/>
  <c r="H49" i="10" s="1"/>
  <c r="AC48" i="10"/>
  <c r="M48" i="10" s="1"/>
  <c r="O48" i="10" s="1"/>
  <c r="J48" i="10"/>
  <c r="AD48" i="10"/>
  <c r="N48" i="10" s="1"/>
  <c r="P48" i="10" s="1"/>
  <c r="K48" i="10"/>
  <c r="G48" i="10"/>
  <c r="U49" i="10"/>
  <c r="Q49" i="10"/>
  <c r="F48" i="10"/>
  <c r="W48" i="10" l="1"/>
  <c r="V48" i="10"/>
  <c r="X48" i="10"/>
  <c r="AF48" i="10"/>
  <c r="AG48" i="10"/>
  <c r="Y49" i="10"/>
  <c r="F49" i="10" s="1"/>
  <c r="AH49" i="10"/>
  <c r="AE49" i="10"/>
  <c r="Z49" i="10"/>
  <c r="T49" i="10" s="1"/>
  <c r="AA50" i="10"/>
  <c r="U50" i="10" s="1"/>
  <c r="AC49" i="10" l="1"/>
  <c r="M49" i="10" s="1"/>
  <c r="O49" i="10" s="1"/>
  <c r="Y50" i="10" s="1"/>
  <c r="S50" i="10" s="1"/>
  <c r="K49" i="10"/>
  <c r="AD49" i="10"/>
  <c r="X49" i="10" s="1"/>
  <c r="G49" i="10"/>
  <c r="AF49" i="10" s="1"/>
  <c r="Q50" i="10"/>
  <c r="H50" i="10"/>
  <c r="S49" i="10"/>
  <c r="AB49" i="10"/>
  <c r="I49" i="10"/>
  <c r="AE50" i="10"/>
  <c r="AH50" i="10"/>
  <c r="J49" i="10"/>
  <c r="AG49" i="10" l="1"/>
  <c r="N49" i="10"/>
  <c r="P49" i="10" s="1"/>
  <c r="Z50" i="10" s="1"/>
  <c r="AC50" i="10" s="1"/>
  <c r="W49" i="10"/>
  <c r="AA51" i="10"/>
  <c r="U51" i="10" s="1"/>
  <c r="V49" i="10"/>
  <c r="L49" i="10"/>
  <c r="R49" i="10" s="1"/>
  <c r="F50" i="10" s="1"/>
  <c r="W50" i="10" l="1"/>
  <c r="J50" i="10"/>
  <c r="Q51" i="10"/>
  <c r="AE51" i="10"/>
  <c r="AH51" i="10"/>
  <c r="M50" i="10"/>
  <c r="O50" i="10" s="1"/>
  <c r="I50" i="10"/>
  <c r="AB50" i="10"/>
  <c r="V50" i="10" s="1"/>
  <c r="T50" i="10"/>
  <c r="H51" i="10" s="1"/>
  <c r="K50" i="10"/>
  <c r="AD50" i="10"/>
  <c r="G50" i="10"/>
  <c r="L50" i="10" l="1"/>
  <c r="R50" i="10" s="1"/>
  <c r="AA52" i="10"/>
  <c r="N50" i="10"/>
  <c r="P50" i="10" s="1"/>
  <c r="X50" i="10"/>
  <c r="AF50" i="10"/>
  <c r="AG50" i="10"/>
  <c r="Y51" i="10"/>
  <c r="S51" i="10" l="1"/>
  <c r="F51" i="10"/>
  <c r="AB51" i="10"/>
  <c r="I51" i="10"/>
  <c r="U52" i="10"/>
  <c r="Q52" i="10"/>
  <c r="Z51" i="10"/>
  <c r="T51" i="10" l="1"/>
  <c r="H52" i="10" s="1"/>
  <c r="G51" i="10"/>
  <c r="AF51" i="10" s="1"/>
  <c r="AD51" i="10"/>
  <c r="K51" i="10"/>
  <c r="L51" i="10"/>
  <c r="R51" i="10" s="1"/>
  <c r="V51" i="10"/>
  <c r="AE52" i="10"/>
  <c r="AH52" i="10"/>
  <c r="AC51" i="10"/>
  <c r="J51" i="10"/>
  <c r="AG51" i="10" l="1"/>
  <c r="M51" i="10"/>
  <c r="O51" i="10" s="1"/>
  <c r="W51" i="10"/>
  <c r="X51" i="10"/>
  <c r="N51" i="10"/>
  <c r="P51" i="10" s="1"/>
  <c r="AA53" i="10"/>
  <c r="Z52" i="10" l="1"/>
  <c r="U53" i="10"/>
  <c r="Q53" i="10"/>
  <c r="Y52" i="10"/>
  <c r="S52" i="10" l="1"/>
  <c r="F52" i="10"/>
  <c r="I52" i="10"/>
  <c r="AB52" i="10"/>
  <c r="AC52" i="10"/>
  <c r="J52" i="10"/>
  <c r="AE53" i="10"/>
  <c r="AH53" i="10"/>
  <c r="T52" i="10"/>
  <c r="H53" i="10" s="1"/>
  <c r="AD52" i="10"/>
  <c r="K52" i="10"/>
  <c r="G52" i="10"/>
  <c r="X52" i="10" l="1"/>
  <c r="N52" i="10"/>
  <c r="P52" i="10" s="1"/>
  <c r="M52" i="10"/>
  <c r="O52" i="10" s="1"/>
  <c r="Y53" i="10" s="1"/>
  <c r="S53" i="10" s="1"/>
  <c r="W52" i="10"/>
  <c r="AA54" i="10"/>
  <c r="L52" i="10"/>
  <c r="R52" i="10" s="1"/>
  <c r="V52" i="10"/>
  <c r="AG52" i="10"/>
  <c r="AF52" i="10"/>
  <c r="F53" i="10" l="1"/>
  <c r="I53" i="10"/>
  <c r="AB53" i="10"/>
  <c r="L53" i="10" s="1"/>
  <c r="R53" i="10" s="1"/>
  <c r="U54" i="10"/>
  <c r="Q54" i="10"/>
  <c r="Z53" i="10"/>
  <c r="V53" i="10" l="1"/>
  <c r="T53" i="10"/>
  <c r="H54" i="10" s="1"/>
  <c r="K53" i="10"/>
  <c r="AD53" i="10"/>
  <c r="G53" i="10"/>
  <c r="AF53" i="10" s="1"/>
  <c r="AH54" i="10"/>
  <c r="AE54" i="10"/>
  <c r="AC53" i="10"/>
  <c r="J53" i="10"/>
  <c r="AG53" i="10" l="1"/>
  <c r="M53" i="10"/>
  <c r="O53" i="10" s="1"/>
  <c r="W53" i="10"/>
  <c r="X53" i="10"/>
  <c r="N53" i="10"/>
  <c r="P53" i="10" s="1"/>
  <c r="AA55" i="10"/>
  <c r="U55" i="10" l="1"/>
  <c r="Q55" i="10"/>
  <c r="Z54" i="10"/>
  <c r="Y54" i="10"/>
  <c r="T54" i="10" l="1"/>
  <c r="H55" i="10" s="1"/>
  <c r="K54" i="10"/>
  <c r="AD54" i="10"/>
  <c r="G54" i="10"/>
  <c r="S54" i="10"/>
  <c r="I54" i="10"/>
  <c r="F54" i="10"/>
  <c r="AB54" i="10"/>
  <c r="J54" i="10"/>
  <c r="AC54" i="10"/>
  <c r="AH55" i="10"/>
  <c r="AE55" i="10"/>
  <c r="M54" i="10" l="1"/>
  <c r="O54" i="10" s="1"/>
  <c r="Y55" i="10" s="1"/>
  <c r="S55" i="10" s="1"/>
  <c r="W54" i="10"/>
  <c r="L54" i="10"/>
  <c r="R54" i="10" s="1"/>
  <c r="V54" i="10"/>
  <c r="AF54" i="10"/>
  <c r="AG54" i="10"/>
  <c r="N54" i="10"/>
  <c r="P54" i="10" s="1"/>
  <c r="X54" i="10"/>
  <c r="AA56" i="10"/>
  <c r="U56" i="10" l="1"/>
  <c r="Q56" i="10"/>
  <c r="AB55" i="10"/>
  <c r="V55" i="10" s="1"/>
  <c r="Z55" i="10"/>
  <c r="AC55" i="10" s="1"/>
  <c r="M55" i="10" s="1"/>
  <c r="O55" i="10" s="1"/>
  <c r="I55" i="10"/>
  <c r="F55" i="10"/>
  <c r="L55" i="10" l="1"/>
  <c r="R55" i="10" s="1"/>
  <c r="T55" i="10"/>
  <c r="H56" i="10" s="1"/>
  <c r="K55" i="10"/>
  <c r="AD55" i="10"/>
  <c r="G55" i="10"/>
  <c r="AG55" i="10" s="1"/>
  <c r="J55" i="10"/>
  <c r="Y56" i="10"/>
  <c r="S56" i="10" s="1"/>
  <c r="W55" i="10"/>
  <c r="AE56" i="10"/>
  <c r="AH56" i="10"/>
  <c r="AF55" i="10" l="1"/>
  <c r="I56" i="10"/>
  <c r="AB56" i="10"/>
  <c r="L56" i="10" s="1"/>
  <c r="R56" i="10" s="1"/>
  <c r="F56" i="10"/>
  <c r="X55" i="10"/>
  <c r="N55" i="10"/>
  <c r="P55" i="10" s="1"/>
  <c r="AA57" i="10"/>
  <c r="V56" i="10" l="1"/>
  <c r="U57" i="10"/>
  <c r="Q57" i="10"/>
  <c r="Z56" i="10"/>
  <c r="T56" i="10" l="1"/>
  <c r="H57" i="10" s="1"/>
  <c r="AC56" i="10"/>
  <c r="AD56" i="10"/>
  <c r="K56" i="10"/>
  <c r="G56" i="10"/>
  <c r="J56" i="10"/>
  <c r="AE57" i="10"/>
  <c r="AH57" i="10"/>
  <c r="W56" i="10" l="1"/>
  <c r="M56" i="10"/>
  <c r="O56" i="10" s="1"/>
  <c r="AF56" i="10"/>
  <c r="AG56" i="10"/>
  <c r="N56" i="10"/>
  <c r="P56" i="10" s="1"/>
  <c r="Z57" i="10" s="1"/>
  <c r="X56" i="10"/>
  <c r="AA58" i="10"/>
  <c r="T57" i="10" l="1"/>
  <c r="H58" i="10" s="1"/>
  <c r="AD57" i="10"/>
  <c r="N57" i="10" s="1"/>
  <c r="P57" i="10" s="1"/>
  <c r="G57" i="10"/>
  <c r="K57" i="10"/>
  <c r="U58" i="10"/>
  <c r="Q58" i="10"/>
  <c r="Y57" i="10"/>
  <c r="X57" i="10" l="1"/>
  <c r="S57" i="10"/>
  <c r="I57" i="10"/>
  <c r="AB57" i="10"/>
  <c r="F57" i="10"/>
  <c r="J57" i="10"/>
  <c r="AC57" i="10"/>
  <c r="AH58" i="10"/>
  <c r="AE58" i="10"/>
  <c r="Z58" i="10"/>
  <c r="T58" i="10" s="1"/>
  <c r="AA59" i="10"/>
  <c r="U59" i="10" s="1"/>
  <c r="H59" i="10" l="1"/>
  <c r="AE59" i="10"/>
  <c r="AH59" i="10"/>
  <c r="G58" i="10"/>
  <c r="K58" i="10"/>
  <c r="L57" i="10"/>
  <c r="R57" i="10" s="1"/>
  <c r="V57" i="10"/>
  <c r="Q59" i="10"/>
  <c r="AD58" i="10"/>
  <c r="M57" i="10"/>
  <c r="O57" i="10" s="1"/>
  <c r="Y58" i="10" s="1"/>
  <c r="S58" i="10" s="1"/>
  <c r="W57" i="10"/>
  <c r="AG57" i="10"/>
  <c r="AF57" i="10"/>
  <c r="I58" i="10" l="1"/>
  <c r="AC58" i="10"/>
  <c r="M58" i="10" s="1"/>
  <c r="O58" i="10" s="1"/>
  <c r="F58" i="10"/>
  <c r="J58" i="10"/>
  <c r="N58" i="10"/>
  <c r="P58" i="10" s="1"/>
  <c r="X58" i="10"/>
  <c r="AB58" i="10"/>
  <c r="V58" i="10" s="1"/>
  <c r="AA60" i="10"/>
  <c r="U60" i="10" s="1"/>
  <c r="W58" i="10" l="1"/>
  <c r="AH60" i="10"/>
  <c r="AE60" i="10"/>
  <c r="L58" i="10"/>
  <c r="Y59" i="10"/>
  <c r="S59" i="10" s="1"/>
  <c r="AF58" i="10"/>
  <c r="AG58" i="10"/>
  <c r="Z59" i="10"/>
  <c r="Q60" i="10"/>
  <c r="AC59" i="10" l="1"/>
  <c r="T59" i="10"/>
  <c r="H60" i="10" s="1"/>
  <c r="G59" i="10"/>
  <c r="AD59" i="10"/>
  <c r="K59" i="10"/>
  <c r="J59" i="10"/>
  <c r="R58" i="10"/>
  <c r="F59" i="10" s="1"/>
  <c r="I59" i="10"/>
  <c r="AB59" i="10"/>
  <c r="AA61" i="10" l="1"/>
  <c r="L59" i="10"/>
  <c r="R59" i="10" s="1"/>
  <c r="V59" i="10"/>
  <c r="AF59" i="10"/>
  <c r="AG59" i="10"/>
  <c r="N59" i="10"/>
  <c r="P59" i="10" s="1"/>
  <c r="Z60" i="10" s="1"/>
  <c r="X59" i="10"/>
  <c r="W59" i="10"/>
  <c r="M59" i="10"/>
  <c r="O59" i="10" s="1"/>
  <c r="T60" i="10" l="1"/>
  <c r="H61" i="10" s="1"/>
  <c r="AD60" i="10"/>
  <c r="X60" i="10" s="1"/>
  <c r="K60" i="10"/>
  <c r="G60" i="10"/>
  <c r="Y60" i="10"/>
  <c r="AB60" i="10" s="1"/>
  <c r="L60" i="10" s="1"/>
  <c r="R60" i="10" s="1"/>
  <c r="U61" i="10"/>
  <c r="Q61" i="10"/>
  <c r="N60" i="10" l="1"/>
  <c r="P60" i="10" s="1"/>
  <c r="Z61" i="10" s="1"/>
  <c r="T61" i="10" s="1"/>
  <c r="S60" i="10"/>
  <c r="J60" i="10"/>
  <c r="AC60" i="10"/>
  <c r="F60" i="10"/>
  <c r="I60" i="10"/>
  <c r="AE61" i="10"/>
  <c r="AH61" i="10"/>
  <c r="V60" i="10"/>
  <c r="AA62" i="10"/>
  <c r="U62" i="10" s="1"/>
  <c r="H62" i="10" l="1"/>
  <c r="K61" i="10"/>
  <c r="AD61" i="10"/>
  <c r="N61" i="10" s="1"/>
  <c r="P61" i="10" s="1"/>
  <c r="G61" i="10"/>
  <c r="AH62" i="10"/>
  <c r="AE62" i="10"/>
  <c r="Q62" i="10"/>
  <c r="AF60" i="10"/>
  <c r="AG60" i="10"/>
  <c r="W60" i="10"/>
  <c r="M60" i="10"/>
  <c r="O60" i="10" s="1"/>
  <c r="X61" i="10" l="1"/>
  <c r="Y61" i="10"/>
  <c r="Z62" i="10"/>
  <c r="T62" i="10" l="1"/>
  <c r="K62" i="10"/>
  <c r="AD62" i="10"/>
  <c r="S61" i="10"/>
  <c r="G62" i="10" s="1"/>
  <c r="J61" i="10"/>
  <c r="AB61" i="10"/>
  <c r="F61" i="10"/>
  <c r="I61" i="10"/>
  <c r="AC61" i="10"/>
  <c r="M61" i="10" l="1"/>
  <c r="O61" i="10" s="1"/>
  <c r="Y62" i="10" s="1"/>
  <c r="W61" i="10"/>
  <c r="AF61" i="10"/>
  <c r="AG61" i="10"/>
  <c r="L61" i="10"/>
  <c r="R61" i="10" s="1"/>
  <c r="V61" i="10"/>
  <c r="X62" i="10"/>
  <c r="N62" i="10"/>
  <c r="P62" i="10" s="1"/>
  <c r="S62" i="10" l="1"/>
  <c r="AC62" i="10"/>
  <c r="W62" i="10" s="1"/>
  <c r="J62" i="10"/>
  <c r="F62" i="10"/>
  <c r="AG62" i="10" s="1"/>
  <c r="AB62" i="10"/>
  <c r="L62" i="10" s="1"/>
  <c r="R62" i="10" s="1"/>
  <c r="I62" i="10"/>
  <c r="M62" i="10" l="1"/>
  <c r="O62" i="10" s="1"/>
  <c r="AF62" i="10"/>
  <c r="AK2" i="10" s="1"/>
  <c r="V62" i="10"/>
</calcChain>
</file>

<file path=xl/sharedStrings.xml><?xml version="1.0" encoding="utf-8"?>
<sst xmlns="http://schemas.openxmlformats.org/spreadsheetml/2006/main" count="43" uniqueCount="37">
  <si>
    <t>k</t>
  </si>
  <si>
    <t>d</t>
  </si>
  <si>
    <t>u1</t>
  </si>
  <si>
    <t>u2</t>
  </si>
  <si>
    <t>u3</t>
  </si>
  <si>
    <t>EA</t>
  </si>
  <si>
    <t>ED</t>
  </si>
  <si>
    <t>EV</t>
  </si>
  <si>
    <t>PEA</t>
  </si>
  <si>
    <t>PED</t>
  </si>
  <si>
    <t>PEV</t>
  </si>
  <si>
    <t>PRP</t>
  </si>
  <si>
    <t>PRA</t>
  </si>
  <si>
    <t>PRD</t>
  </si>
  <si>
    <t>PPA</t>
  </si>
  <si>
    <t>PPD</t>
  </si>
  <si>
    <t>PPV</t>
  </si>
  <si>
    <t>VP</t>
  </si>
  <si>
    <t>VA</t>
  </si>
  <si>
    <t>VD</t>
  </si>
  <si>
    <t>VV</t>
  </si>
  <si>
    <t>IA</t>
  </si>
  <si>
    <t>ID</t>
  </si>
  <si>
    <t>IV</t>
  </si>
  <si>
    <t>mEA</t>
  </si>
  <si>
    <t>mED</t>
  </si>
  <si>
    <t>mEV</t>
  </si>
  <si>
    <t>e1</t>
  </si>
  <si>
    <t>e2</t>
  </si>
  <si>
    <t>e3</t>
  </si>
  <si>
    <t>J_Track</t>
  </si>
  <si>
    <t>J_StockMax</t>
  </si>
  <si>
    <t>Pen_Neg</t>
  </si>
  <si>
    <t>Pen_VV</t>
  </si>
  <si>
    <t>J_Smooth</t>
  </si>
  <si>
    <t>Custo Total (J)</t>
  </si>
  <si>
    <t>Tempo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</si>
</sst>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8DC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4" borderId="0" xfId="0" applyFont="1" applyFill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1" fillId="2" borderId="0" xfId="0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Otimizacao_SCM!$AN$1</c:f>
              <c:strCache>
                <c:ptCount val="1"/>
                <c:pt idx="0">
                  <c:v>u1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Otimizacao_SCM!$AM$2:$AM$122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  <c:pt idx="21">
                  <c:v>11</c:v>
                </c:pt>
                <c:pt idx="22">
                  <c:v>11</c:v>
                </c:pt>
                <c:pt idx="23">
                  <c:v>12</c:v>
                </c:pt>
                <c:pt idx="24">
                  <c:v>12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14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17</c:v>
                </c:pt>
                <c:pt idx="35">
                  <c:v>18</c:v>
                </c:pt>
                <c:pt idx="36">
                  <c:v>18</c:v>
                </c:pt>
                <c:pt idx="37">
                  <c:v>19</c:v>
                </c:pt>
                <c:pt idx="38">
                  <c:v>19</c:v>
                </c:pt>
                <c:pt idx="39">
                  <c:v>20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22</c:v>
                </c:pt>
                <c:pt idx="44">
                  <c:v>22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26</c:v>
                </c:pt>
                <c:pt idx="53">
                  <c:v>27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29</c:v>
                </c:pt>
                <c:pt idx="58">
                  <c:v>29</c:v>
                </c:pt>
                <c:pt idx="59">
                  <c:v>30</c:v>
                </c:pt>
                <c:pt idx="60">
                  <c:v>30</c:v>
                </c:pt>
                <c:pt idx="61">
                  <c:v>31</c:v>
                </c:pt>
                <c:pt idx="62">
                  <c:v>31</c:v>
                </c:pt>
                <c:pt idx="63">
                  <c:v>32</c:v>
                </c:pt>
                <c:pt idx="64">
                  <c:v>32</c:v>
                </c:pt>
                <c:pt idx="65">
                  <c:v>33</c:v>
                </c:pt>
                <c:pt idx="66">
                  <c:v>33</c:v>
                </c:pt>
                <c:pt idx="67">
                  <c:v>34</c:v>
                </c:pt>
                <c:pt idx="68">
                  <c:v>34</c:v>
                </c:pt>
                <c:pt idx="69">
                  <c:v>35</c:v>
                </c:pt>
                <c:pt idx="70">
                  <c:v>35</c:v>
                </c:pt>
                <c:pt idx="71">
                  <c:v>36</c:v>
                </c:pt>
                <c:pt idx="72">
                  <c:v>36</c:v>
                </c:pt>
                <c:pt idx="73">
                  <c:v>37</c:v>
                </c:pt>
                <c:pt idx="74">
                  <c:v>37</c:v>
                </c:pt>
                <c:pt idx="75">
                  <c:v>38</c:v>
                </c:pt>
                <c:pt idx="76">
                  <c:v>38</c:v>
                </c:pt>
                <c:pt idx="77">
                  <c:v>39</c:v>
                </c:pt>
                <c:pt idx="78">
                  <c:v>39</c:v>
                </c:pt>
                <c:pt idx="79">
                  <c:v>40</c:v>
                </c:pt>
                <c:pt idx="80">
                  <c:v>40</c:v>
                </c:pt>
                <c:pt idx="81">
                  <c:v>41</c:v>
                </c:pt>
                <c:pt idx="82">
                  <c:v>41</c:v>
                </c:pt>
                <c:pt idx="83">
                  <c:v>42</c:v>
                </c:pt>
                <c:pt idx="84">
                  <c:v>42</c:v>
                </c:pt>
                <c:pt idx="85">
                  <c:v>43</c:v>
                </c:pt>
                <c:pt idx="86">
                  <c:v>43</c:v>
                </c:pt>
                <c:pt idx="87">
                  <c:v>44</c:v>
                </c:pt>
                <c:pt idx="88">
                  <c:v>44</c:v>
                </c:pt>
                <c:pt idx="89">
                  <c:v>45</c:v>
                </c:pt>
                <c:pt idx="90">
                  <c:v>45</c:v>
                </c:pt>
                <c:pt idx="91">
                  <c:v>46</c:v>
                </c:pt>
                <c:pt idx="92">
                  <c:v>46</c:v>
                </c:pt>
                <c:pt idx="93">
                  <c:v>47</c:v>
                </c:pt>
                <c:pt idx="94">
                  <c:v>47</c:v>
                </c:pt>
                <c:pt idx="95">
                  <c:v>48</c:v>
                </c:pt>
                <c:pt idx="96">
                  <c:v>48</c:v>
                </c:pt>
                <c:pt idx="97">
                  <c:v>49</c:v>
                </c:pt>
                <c:pt idx="98">
                  <c:v>49</c:v>
                </c:pt>
                <c:pt idx="99">
                  <c:v>50</c:v>
                </c:pt>
                <c:pt idx="100">
                  <c:v>50</c:v>
                </c:pt>
                <c:pt idx="101">
                  <c:v>51</c:v>
                </c:pt>
                <c:pt idx="102">
                  <c:v>51</c:v>
                </c:pt>
                <c:pt idx="103">
                  <c:v>52</c:v>
                </c:pt>
                <c:pt idx="104">
                  <c:v>52</c:v>
                </c:pt>
                <c:pt idx="105">
                  <c:v>53</c:v>
                </c:pt>
                <c:pt idx="106">
                  <c:v>53</c:v>
                </c:pt>
                <c:pt idx="107">
                  <c:v>54</c:v>
                </c:pt>
                <c:pt idx="108">
                  <c:v>54</c:v>
                </c:pt>
                <c:pt idx="109">
                  <c:v>55</c:v>
                </c:pt>
                <c:pt idx="110">
                  <c:v>55</c:v>
                </c:pt>
                <c:pt idx="111">
                  <c:v>56</c:v>
                </c:pt>
                <c:pt idx="112">
                  <c:v>56</c:v>
                </c:pt>
                <c:pt idx="113">
                  <c:v>57</c:v>
                </c:pt>
                <c:pt idx="114">
                  <c:v>57</c:v>
                </c:pt>
                <c:pt idx="115">
                  <c:v>58</c:v>
                </c:pt>
                <c:pt idx="116">
                  <c:v>58</c:v>
                </c:pt>
                <c:pt idx="117">
                  <c:v>59</c:v>
                </c:pt>
                <c:pt idx="118">
                  <c:v>59</c:v>
                </c:pt>
                <c:pt idx="119">
                  <c:v>60</c:v>
                </c:pt>
                <c:pt idx="120">
                  <c:v>60</c:v>
                </c:pt>
              </c:numCache>
            </c:numRef>
          </c:xVal>
          <c:yVal>
            <c:numRef>
              <c:f>Otimizacao_SCM!$AN$2:$AN$122</c:f>
              <c:numCache>
                <c:formatCode>General</c:formatCode>
                <c:ptCount val="121"/>
                <c:pt idx="0">
                  <c:v>100</c:v>
                </c:pt>
                <c:pt idx="1">
                  <c:v>100</c:v>
                </c:pt>
                <c:pt idx="2">
                  <c:v>77</c:v>
                </c:pt>
                <c:pt idx="3">
                  <c:v>77</c:v>
                </c:pt>
                <c:pt idx="4">
                  <c:v>66</c:v>
                </c:pt>
                <c:pt idx="5">
                  <c:v>66</c:v>
                </c:pt>
                <c:pt idx="6">
                  <c:v>68</c:v>
                </c:pt>
                <c:pt idx="7">
                  <c:v>68</c:v>
                </c:pt>
                <c:pt idx="8">
                  <c:v>74</c:v>
                </c:pt>
                <c:pt idx="9">
                  <c:v>74</c:v>
                </c:pt>
                <c:pt idx="10">
                  <c:v>62</c:v>
                </c:pt>
                <c:pt idx="11">
                  <c:v>62</c:v>
                </c:pt>
                <c:pt idx="12">
                  <c:v>72</c:v>
                </c:pt>
                <c:pt idx="13">
                  <c:v>72</c:v>
                </c:pt>
                <c:pt idx="14">
                  <c:v>83</c:v>
                </c:pt>
                <c:pt idx="15">
                  <c:v>83</c:v>
                </c:pt>
                <c:pt idx="16">
                  <c:v>64</c:v>
                </c:pt>
                <c:pt idx="17">
                  <c:v>64</c:v>
                </c:pt>
                <c:pt idx="18">
                  <c:v>96</c:v>
                </c:pt>
                <c:pt idx="19">
                  <c:v>96</c:v>
                </c:pt>
                <c:pt idx="20">
                  <c:v>67</c:v>
                </c:pt>
                <c:pt idx="21">
                  <c:v>67</c:v>
                </c:pt>
                <c:pt idx="22">
                  <c:v>76</c:v>
                </c:pt>
                <c:pt idx="23">
                  <c:v>76</c:v>
                </c:pt>
                <c:pt idx="24">
                  <c:v>89</c:v>
                </c:pt>
                <c:pt idx="25">
                  <c:v>89</c:v>
                </c:pt>
                <c:pt idx="26">
                  <c:v>76</c:v>
                </c:pt>
                <c:pt idx="27">
                  <c:v>76</c:v>
                </c:pt>
                <c:pt idx="28">
                  <c:v>73</c:v>
                </c:pt>
                <c:pt idx="29">
                  <c:v>73</c:v>
                </c:pt>
                <c:pt idx="30">
                  <c:v>87.000000000000014</c:v>
                </c:pt>
                <c:pt idx="31">
                  <c:v>87.000000000000014</c:v>
                </c:pt>
                <c:pt idx="32">
                  <c:v>85</c:v>
                </c:pt>
                <c:pt idx="33">
                  <c:v>85</c:v>
                </c:pt>
                <c:pt idx="34">
                  <c:v>87</c:v>
                </c:pt>
                <c:pt idx="35">
                  <c:v>87</c:v>
                </c:pt>
                <c:pt idx="36">
                  <c:v>81</c:v>
                </c:pt>
                <c:pt idx="37">
                  <c:v>81</c:v>
                </c:pt>
                <c:pt idx="38">
                  <c:v>62</c:v>
                </c:pt>
                <c:pt idx="39">
                  <c:v>62</c:v>
                </c:pt>
                <c:pt idx="40">
                  <c:v>97.000000000000014</c:v>
                </c:pt>
                <c:pt idx="41">
                  <c:v>97.000000000000014</c:v>
                </c:pt>
                <c:pt idx="42">
                  <c:v>76</c:v>
                </c:pt>
                <c:pt idx="43">
                  <c:v>76</c:v>
                </c:pt>
                <c:pt idx="44">
                  <c:v>65</c:v>
                </c:pt>
                <c:pt idx="45">
                  <c:v>65</c:v>
                </c:pt>
                <c:pt idx="46">
                  <c:v>66</c:v>
                </c:pt>
                <c:pt idx="47">
                  <c:v>66</c:v>
                </c:pt>
                <c:pt idx="48">
                  <c:v>48</c:v>
                </c:pt>
                <c:pt idx="49">
                  <c:v>48</c:v>
                </c:pt>
                <c:pt idx="50">
                  <c:v>72</c:v>
                </c:pt>
                <c:pt idx="51">
                  <c:v>72</c:v>
                </c:pt>
                <c:pt idx="52">
                  <c:v>71</c:v>
                </c:pt>
                <c:pt idx="53">
                  <c:v>71</c:v>
                </c:pt>
                <c:pt idx="54">
                  <c:v>74</c:v>
                </c:pt>
                <c:pt idx="55">
                  <c:v>74</c:v>
                </c:pt>
                <c:pt idx="56">
                  <c:v>82</c:v>
                </c:pt>
                <c:pt idx="57">
                  <c:v>82</c:v>
                </c:pt>
                <c:pt idx="58">
                  <c:v>75</c:v>
                </c:pt>
                <c:pt idx="59">
                  <c:v>75</c:v>
                </c:pt>
                <c:pt idx="60">
                  <c:v>97</c:v>
                </c:pt>
                <c:pt idx="61">
                  <c:v>97</c:v>
                </c:pt>
                <c:pt idx="62">
                  <c:v>65</c:v>
                </c:pt>
                <c:pt idx="63">
                  <c:v>65</c:v>
                </c:pt>
                <c:pt idx="64">
                  <c:v>98</c:v>
                </c:pt>
                <c:pt idx="65">
                  <c:v>98</c:v>
                </c:pt>
                <c:pt idx="66">
                  <c:v>76</c:v>
                </c:pt>
                <c:pt idx="67">
                  <c:v>76</c:v>
                </c:pt>
                <c:pt idx="68">
                  <c:v>104.00000000000001</c:v>
                </c:pt>
                <c:pt idx="69">
                  <c:v>104.00000000000001</c:v>
                </c:pt>
                <c:pt idx="70">
                  <c:v>82</c:v>
                </c:pt>
                <c:pt idx="71">
                  <c:v>82</c:v>
                </c:pt>
                <c:pt idx="72">
                  <c:v>73</c:v>
                </c:pt>
                <c:pt idx="73">
                  <c:v>73</c:v>
                </c:pt>
                <c:pt idx="74">
                  <c:v>83</c:v>
                </c:pt>
                <c:pt idx="75">
                  <c:v>83</c:v>
                </c:pt>
                <c:pt idx="76">
                  <c:v>80</c:v>
                </c:pt>
                <c:pt idx="77">
                  <c:v>80</c:v>
                </c:pt>
                <c:pt idx="78">
                  <c:v>70</c:v>
                </c:pt>
                <c:pt idx="79">
                  <c:v>70</c:v>
                </c:pt>
                <c:pt idx="80">
                  <c:v>81</c:v>
                </c:pt>
                <c:pt idx="81">
                  <c:v>81</c:v>
                </c:pt>
                <c:pt idx="82">
                  <c:v>84</c:v>
                </c:pt>
                <c:pt idx="83">
                  <c:v>84</c:v>
                </c:pt>
                <c:pt idx="84">
                  <c:v>82</c:v>
                </c:pt>
                <c:pt idx="85">
                  <c:v>82</c:v>
                </c:pt>
                <c:pt idx="86">
                  <c:v>89</c:v>
                </c:pt>
                <c:pt idx="87">
                  <c:v>89</c:v>
                </c:pt>
                <c:pt idx="88">
                  <c:v>95</c:v>
                </c:pt>
                <c:pt idx="89">
                  <c:v>95</c:v>
                </c:pt>
                <c:pt idx="90">
                  <c:v>60</c:v>
                </c:pt>
                <c:pt idx="91">
                  <c:v>60</c:v>
                </c:pt>
                <c:pt idx="92">
                  <c:v>72</c:v>
                </c:pt>
                <c:pt idx="93">
                  <c:v>72</c:v>
                </c:pt>
                <c:pt idx="94">
                  <c:v>82</c:v>
                </c:pt>
                <c:pt idx="95">
                  <c:v>82</c:v>
                </c:pt>
                <c:pt idx="96">
                  <c:v>71</c:v>
                </c:pt>
                <c:pt idx="97">
                  <c:v>71</c:v>
                </c:pt>
                <c:pt idx="98">
                  <c:v>77</c:v>
                </c:pt>
                <c:pt idx="99">
                  <c:v>77</c:v>
                </c:pt>
                <c:pt idx="100">
                  <c:v>88</c:v>
                </c:pt>
                <c:pt idx="101">
                  <c:v>88</c:v>
                </c:pt>
                <c:pt idx="102">
                  <c:v>76</c:v>
                </c:pt>
                <c:pt idx="103">
                  <c:v>76</c:v>
                </c:pt>
                <c:pt idx="104">
                  <c:v>53</c:v>
                </c:pt>
                <c:pt idx="105">
                  <c:v>53</c:v>
                </c:pt>
                <c:pt idx="106">
                  <c:v>85</c:v>
                </c:pt>
                <c:pt idx="107">
                  <c:v>85</c:v>
                </c:pt>
                <c:pt idx="108">
                  <c:v>71</c:v>
                </c:pt>
                <c:pt idx="109">
                  <c:v>71</c:v>
                </c:pt>
                <c:pt idx="110">
                  <c:v>92</c:v>
                </c:pt>
                <c:pt idx="111">
                  <c:v>92</c:v>
                </c:pt>
                <c:pt idx="112">
                  <c:v>85</c:v>
                </c:pt>
                <c:pt idx="113">
                  <c:v>85</c:v>
                </c:pt>
                <c:pt idx="114">
                  <c:v>89</c:v>
                </c:pt>
                <c:pt idx="115">
                  <c:v>89</c:v>
                </c:pt>
                <c:pt idx="116">
                  <c:v>87</c:v>
                </c:pt>
                <c:pt idx="117">
                  <c:v>87</c:v>
                </c:pt>
                <c:pt idx="118">
                  <c:v>86</c:v>
                </c:pt>
                <c:pt idx="119">
                  <c:v>86</c:v>
                </c:pt>
                <c:pt idx="12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7A0-4A69-B774-D6BADD6357A3}"/>
            </c:ext>
          </c:extLst>
        </c:ser>
        <c:ser>
          <c:idx val="1"/>
          <c:order val="1"/>
          <c:tx>
            <c:strRef>
              <c:f>Otimizacao_SCM!$AO$1</c:f>
              <c:strCache>
                <c:ptCount val="1"/>
                <c:pt idx="0">
                  <c:v>u2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Otimizacao_SCM!$AM$2:$AM$122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  <c:pt idx="21">
                  <c:v>11</c:v>
                </c:pt>
                <c:pt idx="22">
                  <c:v>11</c:v>
                </c:pt>
                <c:pt idx="23">
                  <c:v>12</c:v>
                </c:pt>
                <c:pt idx="24">
                  <c:v>12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14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17</c:v>
                </c:pt>
                <c:pt idx="35">
                  <c:v>18</c:v>
                </c:pt>
                <c:pt idx="36">
                  <c:v>18</c:v>
                </c:pt>
                <c:pt idx="37">
                  <c:v>19</c:v>
                </c:pt>
                <c:pt idx="38">
                  <c:v>19</c:v>
                </c:pt>
                <c:pt idx="39">
                  <c:v>20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22</c:v>
                </c:pt>
                <c:pt idx="44">
                  <c:v>22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26</c:v>
                </c:pt>
                <c:pt idx="53">
                  <c:v>27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29</c:v>
                </c:pt>
                <c:pt idx="58">
                  <c:v>29</c:v>
                </c:pt>
                <c:pt idx="59">
                  <c:v>30</c:v>
                </c:pt>
                <c:pt idx="60">
                  <c:v>30</c:v>
                </c:pt>
                <c:pt idx="61">
                  <c:v>31</c:v>
                </c:pt>
                <c:pt idx="62">
                  <c:v>31</c:v>
                </c:pt>
                <c:pt idx="63">
                  <c:v>32</c:v>
                </c:pt>
                <c:pt idx="64">
                  <c:v>32</c:v>
                </c:pt>
                <c:pt idx="65">
                  <c:v>33</c:v>
                </c:pt>
                <c:pt idx="66">
                  <c:v>33</c:v>
                </c:pt>
                <c:pt idx="67">
                  <c:v>34</c:v>
                </c:pt>
                <c:pt idx="68">
                  <c:v>34</c:v>
                </c:pt>
                <c:pt idx="69">
                  <c:v>35</c:v>
                </c:pt>
                <c:pt idx="70">
                  <c:v>35</c:v>
                </c:pt>
                <c:pt idx="71">
                  <c:v>36</c:v>
                </c:pt>
                <c:pt idx="72">
                  <c:v>36</c:v>
                </c:pt>
                <c:pt idx="73">
                  <c:v>37</c:v>
                </c:pt>
                <c:pt idx="74">
                  <c:v>37</c:v>
                </c:pt>
                <c:pt idx="75">
                  <c:v>38</c:v>
                </c:pt>
                <c:pt idx="76">
                  <c:v>38</c:v>
                </c:pt>
                <c:pt idx="77">
                  <c:v>39</c:v>
                </c:pt>
                <c:pt idx="78">
                  <c:v>39</c:v>
                </c:pt>
                <c:pt idx="79">
                  <c:v>40</c:v>
                </c:pt>
                <c:pt idx="80">
                  <c:v>40</c:v>
                </c:pt>
                <c:pt idx="81">
                  <c:v>41</c:v>
                </c:pt>
                <c:pt idx="82">
                  <c:v>41</c:v>
                </c:pt>
                <c:pt idx="83">
                  <c:v>42</c:v>
                </c:pt>
                <c:pt idx="84">
                  <c:v>42</c:v>
                </c:pt>
                <c:pt idx="85">
                  <c:v>43</c:v>
                </c:pt>
                <c:pt idx="86">
                  <c:v>43</c:v>
                </c:pt>
                <c:pt idx="87">
                  <c:v>44</c:v>
                </c:pt>
                <c:pt idx="88">
                  <c:v>44</c:v>
                </c:pt>
                <c:pt idx="89">
                  <c:v>45</c:v>
                </c:pt>
                <c:pt idx="90">
                  <c:v>45</c:v>
                </c:pt>
                <c:pt idx="91">
                  <c:v>46</c:v>
                </c:pt>
                <c:pt idx="92">
                  <c:v>46</c:v>
                </c:pt>
                <c:pt idx="93">
                  <c:v>47</c:v>
                </c:pt>
                <c:pt idx="94">
                  <c:v>47</c:v>
                </c:pt>
                <c:pt idx="95">
                  <c:v>48</c:v>
                </c:pt>
                <c:pt idx="96">
                  <c:v>48</c:v>
                </c:pt>
                <c:pt idx="97">
                  <c:v>49</c:v>
                </c:pt>
                <c:pt idx="98">
                  <c:v>49</c:v>
                </c:pt>
                <c:pt idx="99">
                  <c:v>50</c:v>
                </c:pt>
                <c:pt idx="100">
                  <c:v>50</c:v>
                </c:pt>
                <c:pt idx="101">
                  <c:v>51</c:v>
                </c:pt>
                <c:pt idx="102">
                  <c:v>51</c:v>
                </c:pt>
                <c:pt idx="103">
                  <c:v>52</c:v>
                </c:pt>
                <c:pt idx="104">
                  <c:v>52</c:v>
                </c:pt>
                <c:pt idx="105">
                  <c:v>53</c:v>
                </c:pt>
                <c:pt idx="106">
                  <c:v>53</c:v>
                </c:pt>
                <c:pt idx="107">
                  <c:v>54</c:v>
                </c:pt>
                <c:pt idx="108">
                  <c:v>54</c:v>
                </c:pt>
                <c:pt idx="109">
                  <c:v>55</c:v>
                </c:pt>
                <c:pt idx="110">
                  <c:v>55</c:v>
                </c:pt>
                <c:pt idx="111">
                  <c:v>56</c:v>
                </c:pt>
                <c:pt idx="112">
                  <c:v>56</c:v>
                </c:pt>
                <c:pt idx="113">
                  <c:v>57</c:v>
                </c:pt>
                <c:pt idx="114">
                  <c:v>57</c:v>
                </c:pt>
                <c:pt idx="115">
                  <c:v>58</c:v>
                </c:pt>
                <c:pt idx="116">
                  <c:v>58</c:v>
                </c:pt>
                <c:pt idx="117">
                  <c:v>59</c:v>
                </c:pt>
                <c:pt idx="118">
                  <c:v>59</c:v>
                </c:pt>
                <c:pt idx="119">
                  <c:v>60</c:v>
                </c:pt>
                <c:pt idx="120">
                  <c:v>60</c:v>
                </c:pt>
              </c:numCache>
            </c:numRef>
          </c:xVal>
          <c:yVal>
            <c:numRef>
              <c:f>Otimizacao_SCM!$AO$2:$AO$122</c:f>
              <c:numCache>
                <c:formatCode>General</c:formatCode>
                <c:ptCount val="1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80</c:v>
                </c:pt>
                <c:pt idx="5">
                  <c:v>80</c:v>
                </c:pt>
                <c:pt idx="6">
                  <c:v>57.000000000000007</c:v>
                </c:pt>
                <c:pt idx="7">
                  <c:v>57.000000000000007</c:v>
                </c:pt>
                <c:pt idx="8">
                  <c:v>70</c:v>
                </c:pt>
                <c:pt idx="9">
                  <c:v>70</c:v>
                </c:pt>
                <c:pt idx="10">
                  <c:v>74</c:v>
                </c:pt>
                <c:pt idx="11">
                  <c:v>74</c:v>
                </c:pt>
                <c:pt idx="12">
                  <c:v>100</c:v>
                </c:pt>
                <c:pt idx="13">
                  <c:v>100</c:v>
                </c:pt>
                <c:pt idx="14">
                  <c:v>83</c:v>
                </c:pt>
                <c:pt idx="15">
                  <c:v>83</c:v>
                </c:pt>
                <c:pt idx="16">
                  <c:v>97</c:v>
                </c:pt>
                <c:pt idx="17">
                  <c:v>97</c:v>
                </c:pt>
                <c:pt idx="18">
                  <c:v>104</c:v>
                </c:pt>
                <c:pt idx="19">
                  <c:v>104</c:v>
                </c:pt>
                <c:pt idx="20">
                  <c:v>54</c:v>
                </c:pt>
                <c:pt idx="21">
                  <c:v>54</c:v>
                </c:pt>
                <c:pt idx="22">
                  <c:v>91</c:v>
                </c:pt>
                <c:pt idx="23">
                  <c:v>91</c:v>
                </c:pt>
                <c:pt idx="24">
                  <c:v>71</c:v>
                </c:pt>
                <c:pt idx="25">
                  <c:v>71</c:v>
                </c:pt>
                <c:pt idx="26">
                  <c:v>88</c:v>
                </c:pt>
                <c:pt idx="27">
                  <c:v>88</c:v>
                </c:pt>
                <c:pt idx="28">
                  <c:v>98</c:v>
                </c:pt>
                <c:pt idx="29">
                  <c:v>98</c:v>
                </c:pt>
                <c:pt idx="30">
                  <c:v>61</c:v>
                </c:pt>
                <c:pt idx="31">
                  <c:v>61</c:v>
                </c:pt>
                <c:pt idx="32">
                  <c:v>75</c:v>
                </c:pt>
                <c:pt idx="33">
                  <c:v>75</c:v>
                </c:pt>
                <c:pt idx="34">
                  <c:v>95</c:v>
                </c:pt>
                <c:pt idx="35">
                  <c:v>95</c:v>
                </c:pt>
                <c:pt idx="36">
                  <c:v>87</c:v>
                </c:pt>
                <c:pt idx="37">
                  <c:v>87</c:v>
                </c:pt>
                <c:pt idx="38">
                  <c:v>85</c:v>
                </c:pt>
                <c:pt idx="39">
                  <c:v>85</c:v>
                </c:pt>
                <c:pt idx="40">
                  <c:v>87</c:v>
                </c:pt>
                <c:pt idx="41">
                  <c:v>87</c:v>
                </c:pt>
                <c:pt idx="42">
                  <c:v>72</c:v>
                </c:pt>
                <c:pt idx="43">
                  <c:v>72</c:v>
                </c:pt>
                <c:pt idx="44">
                  <c:v>63</c:v>
                </c:pt>
                <c:pt idx="45">
                  <c:v>63</c:v>
                </c:pt>
                <c:pt idx="46">
                  <c:v>88</c:v>
                </c:pt>
                <c:pt idx="47">
                  <c:v>88</c:v>
                </c:pt>
                <c:pt idx="48">
                  <c:v>57</c:v>
                </c:pt>
                <c:pt idx="49">
                  <c:v>57</c:v>
                </c:pt>
                <c:pt idx="50">
                  <c:v>86</c:v>
                </c:pt>
                <c:pt idx="51">
                  <c:v>86</c:v>
                </c:pt>
                <c:pt idx="52">
                  <c:v>84</c:v>
                </c:pt>
                <c:pt idx="53">
                  <c:v>84</c:v>
                </c:pt>
                <c:pt idx="54">
                  <c:v>75</c:v>
                </c:pt>
                <c:pt idx="55">
                  <c:v>75</c:v>
                </c:pt>
                <c:pt idx="56">
                  <c:v>42</c:v>
                </c:pt>
                <c:pt idx="57">
                  <c:v>42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80</c:v>
                </c:pt>
                <c:pt idx="67">
                  <c:v>80</c:v>
                </c:pt>
                <c:pt idx="68">
                  <c:v>98</c:v>
                </c:pt>
                <c:pt idx="69">
                  <c:v>98</c:v>
                </c:pt>
                <c:pt idx="70">
                  <c:v>94</c:v>
                </c:pt>
                <c:pt idx="71">
                  <c:v>94</c:v>
                </c:pt>
                <c:pt idx="72">
                  <c:v>76</c:v>
                </c:pt>
                <c:pt idx="73">
                  <c:v>76</c:v>
                </c:pt>
                <c:pt idx="74">
                  <c:v>73</c:v>
                </c:pt>
                <c:pt idx="75">
                  <c:v>73</c:v>
                </c:pt>
                <c:pt idx="76">
                  <c:v>85</c:v>
                </c:pt>
                <c:pt idx="77">
                  <c:v>85</c:v>
                </c:pt>
                <c:pt idx="78">
                  <c:v>94</c:v>
                </c:pt>
                <c:pt idx="79">
                  <c:v>94</c:v>
                </c:pt>
                <c:pt idx="80">
                  <c:v>75.000000000000014</c:v>
                </c:pt>
                <c:pt idx="81">
                  <c:v>75.000000000000014</c:v>
                </c:pt>
                <c:pt idx="82">
                  <c:v>99.000000000000014</c:v>
                </c:pt>
                <c:pt idx="83">
                  <c:v>99.000000000000014</c:v>
                </c:pt>
                <c:pt idx="84">
                  <c:v>89</c:v>
                </c:pt>
                <c:pt idx="85">
                  <c:v>89</c:v>
                </c:pt>
                <c:pt idx="86">
                  <c:v>92</c:v>
                </c:pt>
                <c:pt idx="87">
                  <c:v>92</c:v>
                </c:pt>
                <c:pt idx="88">
                  <c:v>73</c:v>
                </c:pt>
                <c:pt idx="89">
                  <c:v>73</c:v>
                </c:pt>
                <c:pt idx="90">
                  <c:v>102</c:v>
                </c:pt>
                <c:pt idx="91">
                  <c:v>102</c:v>
                </c:pt>
                <c:pt idx="92">
                  <c:v>88</c:v>
                </c:pt>
                <c:pt idx="93">
                  <c:v>88</c:v>
                </c:pt>
                <c:pt idx="94">
                  <c:v>83.999999999999986</c:v>
                </c:pt>
                <c:pt idx="95">
                  <c:v>83.999999999999986</c:v>
                </c:pt>
                <c:pt idx="96">
                  <c:v>82</c:v>
                </c:pt>
                <c:pt idx="97">
                  <c:v>82</c:v>
                </c:pt>
                <c:pt idx="98">
                  <c:v>101.99999999999999</c:v>
                </c:pt>
                <c:pt idx="99">
                  <c:v>101.99999999999999</c:v>
                </c:pt>
                <c:pt idx="100">
                  <c:v>85</c:v>
                </c:pt>
                <c:pt idx="101">
                  <c:v>85</c:v>
                </c:pt>
                <c:pt idx="102">
                  <c:v>79</c:v>
                </c:pt>
                <c:pt idx="103">
                  <c:v>79</c:v>
                </c:pt>
                <c:pt idx="104">
                  <c:v>77</c:v>
                </c:pt>
                <c:pt idx="105">
                  <c:v>77</c:v>
                </c:pt>
                <c:pt idx="106">
                  <c:v>98</c:v>
                </c:pt>
                <c:pt idx="107">
                  <c:v>98</c:v>
                </c:pt>
                <c:pt idx="108">
                  <c:v>68</c:v>
                </c:pt>
                <c:pt idx="109">
                  <c:v>68</c:v>
                </c:pt>
                <c:pt idx="110">
                  <c:v>102</c:v>
                </c:pt>
                <c:pt idx="111">
                  <c:v>102</c:v>
                </c:pt>
                <c:pt idx="112">
                  <c:v>84</c:v>
                </c:pt>
                <c:pt idx="113">
                  <c:v>84</c:v>
                </c:pt>
                <c:pt idx="114">
                  <c:v>102</c:v>
                </c:pt>
                <c:pt idx="115">
                  <c:v>102</c:v>
                </c:pt>
                <c:pt idx="116">
                  <c:v>81</c:v>
                </c:pt>
                <c:pt idx="117">
                  <c:v>81</c:v>
                </c:pt>
                <c:pt idx="118">
                  <c:v>78</c:v>
                </c:pt>
                <c:pt idx="119">
                  <c:v>78</c:v>
                </c:pt>
                <c:pt idx="120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67A0-4A69-B774-D6BADD6357A3}"/>
            </c:ext>
          </c:extLst>
        </c:ser>
        <c:ser>
          <c:idx val="2"/>
          <c:order val="2"/>
          <c:tx>
            <c:strRef>
              <c:f>Otimizacao_SCM!$AP$1</c:f>
              <c:strCache>
                <c:ptCount val="1"/>
                <c:pt idx="0">
                  <c:v>u3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Otimizacao_SCM!$AM$2:$AM$122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  <c:pt idx="21">
                  <c:v>11</c:v>
                </c:pt>
                <c:pt idx="22">
                  <c:v>11</c:v>
                </c:pt>
                <c:pt idx="23">
                  <c:v>12</c:v>
                </c:pt>
                <c:pt idx="24">
                  <c:v>12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14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16</c:v>
                </c:pt>
                <c:pt idx="33">
                  <c:v>17</c:v>
                </c:pt>
                <c:pt idx="34">
                  <c:v>17</c:v>
                </c:pt>
                <c:pt idx="35">
                  <c:v>18</c:v>
                </c:pt>
                <c:pt idx="36">
                  <c:v>18</c:v>
                </c:pt>
                <c:pt idx="37">
                  <c:v>19</c:v>
                </c:pt>
                <c:pt idx="38">
                  <c:v>19</c:v>
                </c:pt>
                <c:pt idx="39">
                  <c:v>20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22</c:v>
                </c:pt>
                <c:pt idx="44">
                  <c:v>22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26</c:v>
                </c:pt>
                <c:pt idx="52">
                  <c:v>26</c:v>
                </c:pt>
                <c:pt idx="53">
                  <c:v>27</c:v>
                </c:pt>
                <c:pt idx="54">
                  <c:v>27</c:v>
                </c:pt>
                <c:pt idx="55">
                  <c:v>28</c:v>
                </c:pt>
                <c:pt idx="56">
                  <c:v>28</c:v>
                </c:pt>
                <c:pt idx="57">
                  <c:v>29</c:v>
                </c:pt>
                <c:pt idx="58">
                  <c:v>29</c:v>
                </c:pt>
                <c:pt idx="59">
                  <c:v>30</c:v>
                </c:pt>
                <c:pt idx="60">
                  <c:v>30</c:v>
                </c:pt>
                <c:pt idx="61">
                  <c:v>31</c:v>
                </c:pt>
                <c:pt idx="62">
                  <c:v>31</c:v>
                </c:pt>
                <c:pt idx="63">
                  <c:v>32</c:v>
                </c:pt>
                <c:pt idx="64">
                  <c:v>32</c:v>
                </c:pt>
                <c:pt idx="65">
                  <c:v>33</c:v>
                </c:pt>
                <c:pt idx="66">
                  <c:v>33</c:v>
                </c:pt>
                <c:pt idx="67">
                  <c:v>34</c:v>
                </c:pt>
                <c:pt idx="68">
                  <c:v>34</c:v>
                </c:pt>
                <c:pt idx="69">
                  <c:v>35</c:v>
                </c:pt>
                <c:pt idx="70">
                  <c:v>35</c:v>
                </c:pt>
                <c:pt idx="71">
                  <c:v>36</c:v>
                </c:pt>
                <c:pt idx="72">
                  <c:v>36</c:v>
                </c:pt>
                <c:pt idx="73">
                  <c:v>37</c:v>
                </c:pt>
                <c:pt idx="74">
                  <c:v>37</c:v>
                </c:pt>
                <c:pt idx="75">
                  <c:v>38</c:v>
                </c:pt>
                <c:pt idx="76">
                  <c:v>38</c:v>
                </c:pt>
                <c:pt idx="77">
                  <c:v>39</c:v>
                </c:pt>
                <c:pt idx="78">
                  <c:v>39</c:v>
                </c:pt>
                <c:pt idx="79">
                  <c:v>40</c:v>
                </c:pt>
                <c:pt idx="80">
                  <c:v>40</c:v>
                </c:pt>
                <c:pt idx="81">
                  <c:v>41</c:v>
                </c:pt>
                <c:pt idx="82">
                  <c:v>41</c:v>
                </c:pt>
                <c:pt idx="83">
                  <c:v>42</c:v>
                </c:pt>
                <c:pt idx="84">
                  <c:v>42</c:v>
                </c:pt>
                <c:pt idx="85">
                  <c:v>43</c:v>
                </c:pt>
                <c:pt idx="86">
                  <c:v>43</c:v>
                </c:pt>
                <c:pt idx="87">
                  <c:v>44</c:v>
                </c:pt>
                <c:pt idx="88">
                  <c:v>44</c:v>
                </c:pt>
                <c:pt idx="89">
                  <c:v>45</c:v>
                </c:pt>
                <c:pt idx="90">
                  <c:v>45</c:v>
                </c:pt>
                <c:pt idx="91">
                  <c:v>46</c:v>
                </c:pt>
                <c:pt idx="92">
                  <c:v>46</c:v>
                </c:pt>
                <c:pt idx="93">
                  <c:v>47</c:v>
                </c:pt>
                <c:pt idx="94">
                  <c:v>47</c:v>
                </c:pt>
                <c:pt idx="95">
                  <c:v>48</c:v>
                </c:pt>
                <c:pt idx="96">
                  <c:v>48</c:v>
                </c:pt>
                <c:pt idx="97">
                  <c:v>49</c:v>
                </c:pt>
                <c:pt idx="98">
                  <c:v>49</c:v>
                </c:pt>
                <c:pt idx="99">
                  <c:v>50</c:v>
                </c:pt>
                <c:pt idx="100">
                  <c:v>50</c:v>
                </c:pt>
                <c:pt idx="101">
                  <c:v>51</c:v>
                </c:pt>
                <c:pt idx="102">
                  <c:v>51</c:v>
                </c:pt>
                <c:pt idx="103">
                  <c:v>52</c:v>
                </c:pt>
                <c:pt idx="104">
                  <c:v>52</c:v>
                </c:pt>
                <c:pt idx="105">
                  <c:v>53</c:v>
                </c:pt>
                <c:pt idx="106">
                  <c:v>53</c:v>
                </c:pt>
                <c:pt idx="107">
                  <c:v>54</c:v>
                </c:pt>
                <c:pt idx="108">
                  <c:v>54</c:v>
                </c:pt>
                <c:pt idx="109">
                  <c:v>55</c:v>
                </c:pt>
                <c:pt idx="110">
                  <c:v>55</c:v>
                </c:pt>
                <c:pt idx="111">
                  <c:v>56</c:v>
                </c:pt>
                <c:pt idx="112">
                  <c:v>56</c:v>
                </c:pt>
                <c:pt idx="113">
                  <c:v>57</c:v>
                </c:pt>
                <c:pt idx="114">
                  <c:v>57</c:v>
                </c:pt>
                <c:pt idx="115">
                  <c:v>58</c:v>
                </c:pt>
                <c:pt idx="116">
                  <c:v>58</c:v>
                </c:pt>
                <c:pt idx="117">
                  <c:v>59</c:v>
                </c:pt>
                <c:pt idx="118">
                  <c:v>59</c:v>
                </c:pt>
                <c:pt idx="119">
                  <c:v>60</c:v>
                </c:pt>
                <c:pt idx="120">
                  <c:v>60</c:v>
                </c:pt>
              </c:numCache>
            </c:numRef>
          </c:xVal>
          <c:yVal>
            <c:numRef>
              <c:f>Otimizacao_SCM!$AP$2:$AP$122</c:f>
              <c:numCache>
                <c:formatCode>General</c:formatCode>
                <c:ptCount val="121"/>
                <c:pt idx="0">
                  <c:v>100</c:v>
                </c:pt>
                <c:pt idx="1">
                  <c:v>100</c:v>
                </c:pt>
                <c:pt idx="2">
                  <c:v>79</c:v>
                </c:pt>
                <c:pt idx="3">
                  <c:v>79</c:v>
                </c:pt>
                <c:pt idx="4">
                  <c:v>86</c:v>
                </c:pt>
                <c:pt idx="5">
                  <c:v>86</c:v>
                </c:pt>
                <c:pt idx="6">
                  <c:v>114.00000000000001</c:v>
                </c:pt>
                <c:pt idx="7">
                  <c:v>114.00000000000001</c:v>
                </c:pt>
                <c:pt idx="8">
                  <c:v>55</c:v>
                </c:pt>
                <c:pt idx="9">
                  <c:v>55</c:v>
                </c:pt>
                <c:pt idx="10">
                  <c:v>72</c:v>
                </c:pt>
                <c:pt idx="11">
                  <c:v>72</c:v>
                </c:pt>
                <c:pt idx="12">
                  <c:v>106</c:v>
                </c:pt>
                <c:pt idx="13">
                  <c:v>106</c:v>
                </c:pt>
                <c:pt idx="14">
                  <c:v>78</c:v>
                </c:pt>
                <c:pt idx="15">
                  <c:v>78</c:v>
                </c:pt>
                <c:pt idx="16">
                  <c:v>86</c:v>
                </c:pt>
                <c:pt idx="17">
                  <c:v>86</c:v>
                </c:pt>
                <c:pt idx="18">
                  <c:v>108</c:v>
                </c:pt>
                <c:pt idx="19">
                  <c:v>108</c:v>
                </c:pt>
                <c:pt idx="20">
                  <c:v>80</c:v>
                </c:pt>
                <c:pt idx="21">
                  <c:v>80</c:v>
                </c:pt>
                <c:pt idx="22">
                  <c:v>81</c:v>
                </c:pt>
                <c:pt idx="23">
                  <c:v>81</c:v>
                </c:pt>
                <c:pt idx="24">
                  <c:v>106.99999999999999</c:v>
                </c:pt>
                <c:pt idx="25">
                  <c:v>106.99999999999999</c:v>
                </c:pt>
                <c:pt idx="26">
                  <c:v>83</c:v>
                </c:pt>
                <c:pt idx="27">
                  <c:v>83</c:v>
                </c:pt>
                <c:pt idx="28">
                  <c:v>101.00000000000001</c:v>
                </c:pt>
                <c:pt idx="29">
                  <c:v>101.00000000000001</c:v>
                </c:pt>
                <c:pt idx="30">
                  <c:v>74</c:v>
                </c:pt>
                <c:pt idx="31">
                  <c:v>74</c:v>
                </c:pt>
                <c:pt idx="32">
                  <c:v>82</c:v>
                </c:pt>
                <c:pt idx="33">
                  <c:v>82</c:v>
                </c:pt>
                <c:pt idx="34">
                  <c:v>95</c:v>
                </c:pt>
                <c:pt idx="35">
                  <c:v>95</c:v>
                </c:pt>
                <c:pt idx="36">
                  <c:v>88</c:v>
                </c:pt>
                <c:pt idx="37">
                  <c:v>88</c:v>
                </c:pt>
                <c:pt idx="38">
                  <c:v>103</c:v>
                </c:pt>
                <c:pt idx="39">
                  <c:v>103</c:v>
                </c:pt>
                <c:pt idx="40">
                  <c:v>89</c:v>
                </c:pt>
                <c:pt idx="41">
                  <c:v>89</c:v>
                </c:pt>
                <c:pt idx="42">
                  <c:v>94</c:v>
                </c:pt>
                <c:pt idx="43">
                  <c:v>94</c:v>
                </c:pt>
                <c:pt idx="44">
                  <c:v>82</c:v>
                </c:pt>
                <c:pt idx="45">
                  <c:v>82</c:v>
                </c:pt>
                <c:pt idx="46">
                  <c:v>99</c:v>
                </c:pt>
                <c:pt idx="47">
                  <c:v>99</c:v>
                </c:pt>
                <c:pt idx="48">
                  <c:v>75</c:v>
                </c:pt>
                <c:pt idx="49">
                  <c:v>75</c:v>
                </c:pt>
                <c:pt idx="50">
                  <c:v>87</c:v>
                </c:pt>
                <c:pt idx="51">
                  <c:v>87</c:v>
                </c:pt>
                <c:pt idx="52">
                  <c:v>79</c:v>
                </c:pt>
                <c:pt idx="53">
                  <c:v>79</c:v>
                </c:pt>
                <c:pt idx="54">
                  <c:v>75</c:v>
                </c:pt>
                <c:pt idx="55">
                  <c:v>75</c:v>
                </c:pt>
                <c:pt idx="56">
                  <c:v>55</c:v>
                </c:pt>
                <c:pt idx="57">
                  <c:v>55</c:v>
                </c:pt>
                <c:pt idx="58">
                  <c:v>94</c:v>
                </c:pt>
                <c:pt idx="59">
                  <c:v>94</c:v>
                </c:pt>
                <c:pt idx="60">
                  <c:v>62</c:v>
                </c:pt>
                <c:pt idx="61">
                  <c:v>62</c:v>
                </c:pt>
                <c:pt idx="62">
                  <c:v>75</c:v>
                </c:pt>
                <c:pt idx="63">
                  <c:v>75</c:v>
                </c:pt>
                <c:pt idx="64">
                  <c:v>76</c:v>
                </c:pt>
                <c:pt idx="65">
                  <c:v>76</c:v>
                </c:pt>
                <c:pt idx="66">
                  <c:v>70</c:v>
                </c:pt>
                <c:pt idx="67">
                  <c:v>70</c:v>
                </c:pt>
                <c:pt idx="68">
                  <c:v>69</c:v>
                </c:pt>
                <c:pt idx="69">
                  <c:v>69</c:v>
                </c:pt>
                <c:pt idx="70">
                  <c:v>77.999999999999986</c:v>
                </c:pt>
                <c:pt idx="71">
                  <c:v>77.999999999999986</c:v>
                </c:pt>
                <c:pt idx="72">
                  <c:v>71</c:v>
                </c:pt>
                <c:pt idx="73">
                  <c:v>71</c:v>
                </c:pt>
                <c:pt idx="74">
                  <c:v>60</c:v>
                </c:pt>
                <c:pt idx="75">
                  <c:v>60</c:v>
                </c:pt>
                <c:pt idx="76">
                  <c:v>82</c:v>
                </c:pt>
                <c:pt idx="77">
                  <c:v>82</c:v>
                </c:pt>
                <c:pt idx="78">
                  <c:v>66</c:v>
                </c:pt>
                <c:pt idx="79">
                  <c:v>66</c:v>
                </c:pt>
                <c:pt idx="80">
                  <c:v>75.000000000000014</c:v>
                </c:pt>
                <c:pt idx="81">
                  <c:v>75.000000000000014</c:v>
                </c:pt>
                <c:pt idx="82">
                  <c:v>90</c:v>
                </c:pt>
                <c:pt idx="83">
                  <c:v>90</c:v>
                </c:pt>
                <c:pt idx="84">
                  <c:v>82</c:v>
                </c:pt>
                <c:pt idx="85">
                  <c:v>82</c:v>
                </c:pt>
                <c:pt idx="86">
                  <c:v>90</c:v>
                </c:pt>
                <c:pt idx="87">
                  <c:v>90</c:v>
                </c:pt>
                <c:pt idx="88">
                  <c:v>93</c:v>
                </c:pt>
                <c:pt idx="89">
                  <c:v>93</c:v>
                </c:pt>
                <c:pt idx="90">
                  <c:v>88</c:v>
                </c:pt>
                <c:pt idx="91">
                  <c:v>88</c:v>
                </c:pt>
                <c:pt idx="92">
                  <c:v>100</c:v>
                </c:pt>
                <c:pt idx="93">
                  <c:v>100</c:v>
                </c:pt>
                <c:pt idx="94">
                  <c:v>77</c:v>
                </c:pt>
                <c:pt idx="95">
                  <c:v>77</c:v>
                </c:pt>
                <c:pt idx="96">
                  <c:v>72</c:v>
                </c:pt>
                <c:pt idx="97">
                  <c:v>72</c:v>
                </c:pt>
                <c:pt idx="98">
                  <c:v>91</c:v>
                </c:pt>
                <c:pt idx="99">
                  <c:v>91</c:v>
                </c:pt>
                <c:pt idx="100">
                  <c:v>92</c:v>
                </c:pt>
                <c:pt idx="101">
                  <c:v>92</c:v>
                </c:pt>
                <c:pt idx="102">
                  <c:v>90</c:v>
                </c:pt>
                <c:pt idx="103">
                  <c:v>90</c:v>
                </c:pt>
                <c:pt idx="104">
                  <c:v>75</c:v>
                </c:pt>
                <c:pt idx="105">
                  <c:v>75</c:v>
                </c:pt>
                <c:pt idx="106">
                  <c:v>102.99999999999999</c:v>
                </c:pt>
                <c:pt idx="107">
                  <c:v>102.99999999999999</c:v>
                </c:pt>
                <c:pt idx="108">
                  <c:v>89</c:v>
                </c:pt>
                <c:pt idx="109">
                  <c:v>89</c:v>
                </c:pt>
                <c:pt idx="110">
                  <c:v>101</c:v>
                </c:pt>
                <c:pt idx="111">
                  <c:v>101</c:v>
                </c:pt>
                <c:pt idx="112">
                  <c:v>73</c:v>
                </c:pt>
                <c:pt idx="113">
                  <c:v>73</c:v>
                </c:pt>
                <c:pt idx="114">
                  <c:v>105</c:v>
                </c:pt>
                <c:pt idx="115">
                  <c:v>105</c:v>
                </c:pt>
                <c:pt idx="116">
                  <c:v>85</c:v>
                </c:pt>
                <c:pt idx="117">
                  <c:v>85</c:v>
                </c:pt>
                <c:pt idx="118">
                  <c:v>105</c:v>
                </c:pt>
                <c:pt idx="119">
                  <c:v>105</c:v>
                </c:pt>
                <c:pt idx="120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7A0-4A69-B774-D6BADD635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002752"/>
        <c:axId val="981996992"/>
      </c:scatterChart>
      <c:valAx>
        <c:axId val="98200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Amostras (k)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81996992"/>
        <c:crosses val="autoZero"/>
        <c:crossBetween val="midCat"/>
      </c:valAx>
      <c:valAx>
        <c:axId val="98199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20027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Estoques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14353647276084952"/>
          <c:w val="0.87753018372703417"/>
          <c:h val="0.614984324876057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Otimizacao_SCM!$F$1</c:f>
              <c:strCache>
                <c:ptCount val="1"/>
                <c:pt idx="0">
                  <c:v>EA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Otimizacao_SCM!$A$2:$A$122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Otimizacao_SCM!$F$2:$F$122</c:f>
              <c:numCache>
                <c:formatCode>General</c:formatCode>
                <c:ptCount val="1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75.999999999999986</c:v>
                </c:pt>
                <c:pt idx="6">
                  <c:v>71.999999999999986</c:v>
                </c:pt>
                <c:pt idx="7">
                  <c:v>46</c:v>
                </c:pt>
                <c:pt idx="8">
                  <c:v>48.000000000000014</c:v>
                </c:pt>
                <c:pt idx="9">
                  <c:v>50</c:v>
                </c:pt>
                <c:pt idx="10">
                  <c:v>69</c:v>
                </c:pt>
                <c:pt idx="11">
                  <c:v>69</c:v>
                </c:pt>
                <c:pt idx="12">
                  <c:v>47</c:v>
                </c:pt>
                <c:pt idx="13">
                  <c:v>89</c:v>
                </c:pt>
                <c:pt idx="14">
                  <c:v>33.000000000000014</c:v>
                </c:pt>
                <c:pt idx="15">
                  <c:v>63</c:v>
                </c:pt>
                <c:pt idx="16">
                  <c:v>87.000000000000014</c:v>
                </c:pt>
                <c:pt idx="17">
                  <c:v>75.999999999999986</c:v>
                </c:pt>
                <c:pt idx="18">
                  <c:v>46.000000000000014</c:v>
                </c:pt>
                <c:pt idx="19">
                  <c:v>56</c:v>
                </c:pt>
                <c:pt idx="20">
                  <c:v>51</c:v>
                </c:pt>
                <c:pt idx="21">
                  <c:v>60.000000000000014</c:v>
                </c:pt>
                <c:pt idx="22">
                  <c:v>76</c:v>
                </c:pt>
                <c:pt idx="23">
                  <c:v>69</c:v>
                </c:pt>
                <c:pt idx="24">
                  <c:v>36</c:v>
                </c:pt>
                <c:pt idx="25">
                  <c:v>42</c:v>
                </c:pt>
                <c:pt idx="26">
                  <c:v>43</c:v>
                </c:pt>
                <c:pt idx="27">
                  <c:v>45</c:v>
                </c:pt>
                <c:pt idx="28">
                  <c:v>71</c:v>
                </c:pt>
                <c:pt idx="29">
                  <c:v>82</c:v>
                </c:pt>
                <c:pt idx="30">
                  <c:v>55</c:v>
                </c:pt>
                <c:pt idx="31">
                  <c:v>42</c:v>
                </c:pt>
                <c:pt idx="32">
                  <c:v>61</c:v>
                </c:pt>
                <c:pt idx="33">
                  <c:v>86</c:v>
                </c:pt>
                <c:pt idx="34">
                  <c:v>72</c:v>
                </c:pt>
                <c:pt idx="35">
                  <c:v>82.000000000000014</c:v>
                </c:pt>
                <c:pt idx="36">
                  <c:v>77.000000000000014</c:v>
                </c:pt>
                <c:pt idx="37">
                  <c:v>76.000000000000028</c:v>
                </c:pt>
                <c:pt idx="38">
                  <c:v>82.999999999999986</c:v>
                </c:pt>
                <c:pt idx="39">
                  <c:v>70.999999999999986</c:v>
                </c:pt>
                <c:pt idx="40">
                  <c:v>30.999999999999986</c:v>
                </c:pt>
                <c:pt idx="41">
                  <c:v>81</c:v>
                </c:pt>
                <c:pt idx="42">
                  <c:v>65.999999999999972</c:v>
                </c:pt>
                <c:pt idx="43">
                  <c:v>67.000000000000028</c:v>
                </c:pt>
                <c:pt idx="44">
                  <c:v>84</c:v>
                </c:pt>
                <c:pt idx="45">
                  <c:v>95</c:v>
                </c:pt>
                <c:pt idx="46">
                  <c:v>54</c:v>
                </c:pt>
                <c:pt idx="47">
                  <c:v>72</c:v>
                </c:pt>
                <c:pt idx="48">
                  <c:v>73.000000000000014</c:v>
                </c:pt>
                <c:pt idx="49">
                  <c:v>73.000000000000014</c:v>
                </c:pt>
                <c:pt idx="50">
                  <c:v>59</c:v>
                </c:pt>
                <c:pt idx="51">
                  <c:v>83.999999999999986</c:v>
                </c:pt>
                <c:pt idx="52">
                  <c:v>78.999999999999986</c:v>
                </c:pt>
                <c:pt idx="53">
                  <c:v>72.999999999999986</c:v>
                </c:pt>
                <c:pt idx="54">
                  <c:v>64</c:v>
                </c:pt>
                <c:pt idx="55">
                  <c:v>68.000000000000014</c:v>
                </c:pt>
                <c:pt idx="56">
                  <c:v>58</c:v>
                </c:pt>
                <c:pt idx="57">
                  <c:v>85</c:v>
                </c:pt>
                <c:pt idx="58">
                  <c:v>70.999999999999986</c:v>
                </c:pt>
                <c:pt idx="59">
                  <c:v>84</c:v>
                </c:pt>
                <c:pt idx="60">
                  <c:v>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D5-4E70-9E17-819D614DE79E}"/>
            </c:ext>
          </c:extLst>
        </c:ser>
        <c:ser>
          <c:idx val="1"/>
          <c:order val="1"/>
          <c:tx>
            <c:strRef>
              <c:f>Otimizacao_SCM!$G$1</c:f>
              <c:strCache>
                <c:ptCount val="1"/>
                <c:pt idx="0">
                  <c:v>ED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Otimizacao_SCM!$A$2:$A$122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Otimizacao_SCM!$G$2:$G$122</c:f>
              <c:numCache>
                <c:formatCode>General</c:formatCode>
                <c:ptCount val="1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94</c:v>
                </c:pt>
                <c:pt idx="4">
                  <c:v>45.999999999999986</c:v>
                </c:pt>
                <c:pt idx="5">
                  <c:v>45.999999999999986</c:v>
                </c:pt>
                <c:pt idx="6">
                  <c:v>70</c:v>
                </c:pt>
                <c:pt idx="7">
                  <c:v>22.000000000000014</c:v>
                </c:pt>
                <c:pt idx="8">
                  <c:v>48.000000000000014</c:v>
                </c:pt>
                <c:pt idx="9">
                  <c:v>63</c:v>
                </c:pt>
                <c:pt idx="10">
                  <c:v>35</c:v>
                </c:pt>
                <c:pt idx="11">
                  <c:v>62</c:v>
                </c:pt>
                <c:pt idx="12">
                  <c:v>49</c:v>
                </c:pt>
                <c:pt idx="13">
                  <c:v>32.000000000000014</c:v>
                </c:pt>
                <c:pt idx="14">
                  <c:v>32.000000000000014</c:v>
                </c:pt>
                <c:pt idx="15">
                  <c:v>55.999999999999986</c:v>
                </c:pt>
                <c:pt idx="16">
                  <c:v>63.999999999999972</c:v>
                </c:pt>
                <c:pt idx="17">
                  <c:v>42.999999999999986</c:v>
                </c:pt>
                <c:pt idx="18">
                  <c:v>21.000000000000014</c:v>
                </c:pt>
                <c:pt idx="19">
                  <c:v>49</c:v>
                </c:pt>
                <c:pt idx="20">
                  <c:v>39</c:v>
                </c:pt>
                <c:pt idx="21">
                  <c:v>44</c:v>
                </c:pt>
                <c:pt idx="22">
                  <c:v>56</c:v>
                </c:pt>
                <c:pt idx="23">
                  <c:v>48</c:v>
                </c:pt>
                <c:pt idx="24">
                  <c:v>18</c:v>
                </c:pt>
                <c:pt idx="25">
                  <c:v>51</c:v>
                </c:pt>
                <c:pt idx="26">
                  <c:v>29</c:v>
                </c:pt>
                <c:pt idx="27">
                  <c:v>46</c:v>
                </c:pt>
                <c:pt idx="28">
                  <c:v>56</c:v>
                </c:pt>
                <c:pt idx="29">
                  <c:v>59</c:v>
                </c:pt>
                <c:pt idx="30">
                  <c:v>0</c:v>
                </c:pt>
                <c:pt idx="31">
                  <c:v>27</c:v>
                </c:pt>
                <c:pt idx="32">
                  <c:v>66</c:v>
                </c:pt>
                <c:pt idx="33">
                  <c:v>54</c:v>
                </c:pt>
                <c:pt idx="34">
                  <c:v>62</c:v>
                </c:pt>
                <c:pt idx="35">
                  <c:v>67</c:v>
                </c:pt>
                <c:pt idx="36">
                  <c:v>70.000000000000014</c:v>
                </c:pt>
                <c:pt idx="37">
                  <c:v>72</c:v>
                </c:pt>
                <c:pt idx="38">
                  <c:v>72.999999999999986</c:v>
                </c:pt>
                <c:pt idx="39">
                  <c:v>42</c:v>
                </c:pt>
                <c:pt idx="40">
                  <c:v>54</c:v>
                </c:pt>
                <c:pt idx="41">
                  <c:v>80.999999999999986</c:v>
                </c:pt>
                <c:pt idx="42">
                  <c:v>56</c:v>
                </c:pt>
                <c:pt idx="43">
                  <c:v>72.000000000000028</c:v>
                </c:pt>
                <c:pt idx="44">
                  <c:v>69</c:v>
                </c:pt>
                <c:pt idx="45">
                  <c:v>61</c:v>
                </c:pt>
                <c:pt idx="46">
                  <c:v>56</c:v>
                </c:pt>
                <c:pt idx="47">
                  <c:v>75</c:v>
                </c:pt>
                <c:pt idx="48">
                  <c:v>75</c:v>
                </c:pt>
                <c:pt idx="49">
                  <c:v>83.999999999999986</c:v>
                </c:pt>
                <c:pt idx="50">
                  <c:v>62.999999999999986</c:v>
                </c:pt>
                <c:pt idx="51">
                  <c:v>69.999999999999986</c:v>
                </c:pt>
                <c:pt idx="52">
                  <c:v>66</c:v>
                </c:pt>
                <c:pt idx="53">
                  <c:v>71</c:v>
                </c:pt>
                <c:pt idx="54">
                  <c:v>44.000000000000014</c:v>
                </c:pt>
                <c:pt idx="55">
                  <c:v>65.000000000000014</c:v>
                </c:pt>
                <c:pt idx="56">
                  <c:v>49.999999999999986</c:v>
                </c:pt>
                <c:pt idx="57">
                  <c:v>83.999999999999986</c:v>
                </c:pt>
                <c:pt idx="58">
                  <c:v>59.999999999999986</c:v>
                </c:pt>
                <c:pt idx="59">
                  <c:v>78</c:v>
                </c:pt>
                <c:pt idx="60">
                  <c:v>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D5-4E70-9E17-819D614DE79E}"/>
            </c:ext>
          </c:extLst>
        </c:ser>
        <c:ser>
          <c:idx val="2"/>
          <c:order val="2"/>
          <c:tx>
            <c:strRef>
              <c:f>Otimizacao_SCM!$H$1</c:f>
              <c:strCache>
                <c:ptCount val="1"/>
                <c:pt idx="0">
                  <c:v>EV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Otimizacao_SCM!$A$2:$A$122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Otimizacao_SCM!$H$2:$H$122</c:f>
              <c:numCache>
                <c:formatCode>General</c:formatCode>
                <c:ptCount val="121"/>
                <c:pt idx="0">
                  <c:v>100</c:v>
                </c:pt>
                <c:pt idx="1">
                  <c:v>100</c:v>
                </c:pt>
                <c:pt idx="2">
                  <c:v>80</c:v>
                </c:pt>
                <c:pt idx="3">
                  <c:v>60</c:v>
                </c:pt>
                <c:pt idx="4">
                  <c:v>46</c:v>
                </c:pt>
                <c:pt idx="5">
                  <c:v>74.000000000000014</c:v>
                </c:pt>
                <c:pt idx="6">
                  <c:v>54.000000000000014</c:v>
                </c:pt>
                <c:pt idx="7">
                  <c:v>34.000000000000014</c:v>
                </c:pt>
                <c:pt idx="8">
                  <c:v>66</c:v>
                </c:pt>
                <c:pt idx="9">
                  <c:v>46</c:v>
                </c:pt>
                <c:pt idx="10">
                  <c:v>46</c:v>
                </c:pt>
                <c:pt idx="11">
                  <c:v>68</c:v>
                </c:pt>
                <c:pt idx="12">
                  <c:v>48</c:v>
                </c:pt>
                <c:pt idx="13">
                  <c:v>41</c:v>
                </c:pt>
                <c:pt idx="14">
                  <c:v>66.999999999999986</c:v>
                </c:pt>
                <c:pt idx="15">
                  <c:v>46.999999999999986</c:v>
                </c:pt>
                <c:pt idx="16">
                  <c:v>59</c:v>
                </c:pt>
                <c:pt idx="17">
                  <c:v>41.000000000000014</c:v>
                </c:pt>
                <c:pt idx="18">
                  <c:v>42</c:v>
                </c:pt>
                <c:pt idx="19">
                  <c:v>55</c:v>
                </c:pt>
                <c:pt idx="20">
                  <c:v>48</c:v>
                </c:pt>
                <c:pt idx="21">
                  <c:v>63</c:v>
                </c:pt>
                <c:pt idx="22">
                  <c:v>49</c:v>
                </c:pt>
                <c:pt idx="23">
                  <c:v>54</c:v>
                </c:pt>
                <c:pt idx="24">
                  <c:v>42</c:v>
                </c:pt>
                <c:pt idx="25">
                  <c:v>59</c:v>
                </c:pt>
                <c:pt idx="26">
                  <c:v>39</c:v>
                </c:pt>
                <c:pt idx="27">
                  <c:v>47</c:v>
                </c:pt>
                <c:pt idx="28">
                  <c:v>39</c:v>
                </c:pt>
                <c:pt idx="29">
                  <c:v>35</c:v>
                </c:pt>
                <c:pt idx="30">
                  <c:v>15</c:v>
                </c:pt>
                <c:pt idx="31">
                  <c:v>59</c:v>
                </c:pt>
                <c:pt idx="32">
                  <c:v>44</c:v>
                </c:pt>
                <c:pt idx="33">
                  <c:v>50</c:v>
                </c:pt>
                <c:pt idx="34">
                  <c:v>56</c:v>
                </c:pt>
                <c:pt idx="35">
                  <c:v>50</c:v>
                </c:pt>
                <c:pt idx="36">
                  <c:v>49</c:v>
                </c:pt>
                <c:pt idx="37">
                  <c:v>57.999999999999986</c:v>
                </c:pt>
                <c:pt idx="38">
                  <c:v>51</c:v>
                </c:pt>
                <c:pt idx="39">
                  <c:v>41</c:v>
                </c:pt>
                <c:pt idx="40">
                  <c:v>62</c:v>
                </c:pt>
                <c:pt idx="41">
                  <c:v>52</c:v>
                </c:pt>
                <c:pt idx="42">
                  <c:v>55.000000000000014</c:v>
                </c:pt>
                <c:pt idx="43">
                  <c:v>70</c:v>
                </c:pt>
                <c:pt idx="44">
                  <c:v>62</c:v>
                </c:pt>
                <c:pt idx="45">
                  <c:v>70</c:v>
                </c:pt>
                <c:pt idx="46">
                  <c:v>73</c:v>
                </c:pt>
                <c:pt idx="47">
                  <c:v>68</c:v>
                </c:pt>
                <c:pt idx="48">
                  <c:v>80</c:v>
                </c:pt>
                <c:pt idx="49">
                  <c:v>70</c:v>
                </c:pt>
                <c:pt idx="50">
                  <c:v>60</c:v>
                </c:pt>
                <c:pt idx="51">
                  <c:v>71</c:v>
                </c:pt>
                <c:pt idx="52">
                  <c:v>72</c:v>
                </c:pt>
                <c:pt idx="53">
                  <c:v>70</c:v>
                </c:pt>
                <c:pt idx="54">
                  <c:v>60</c:v>
                </c:pt>
                <c:pt idx="55">
                  <c:v>82.999999999999986</c:v>
                </c:pt>
                <c:pt idx="56">
                  <c:v>72.999999999999986</c:v>
                </c:pt>
                <c:pt idx="57">
                  <c:v>81</c:v>
                </c:pt>
                <c:pt idx="58">
                  <c:v>71</c:v>
                </c:pt>
                <c:pt idx="59">
                  <c:v>85</c:v>
                </c:pt>
                <c:pt idx="60">
                  <c:v>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D5-4E70-9E17-819D614DE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552144"/>
        <c:axId val="818552624"/>
      </c:scatterChart>
      <c:valAx>
        <c:axId val="81855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8552624"/>
        <c:crosses val="autoZero"/>
        <c:crossBetween val="midCat"/>
      </c:valAx>
      <c:valAx>
        <c:axId val="81855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855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1</xdr:row>
      <xdr:rowOff>1905</xdr:rowOff>
    </xdr:from>
    <xdr:to>
      <xdr:col>52</xdr:col>
      <xdr:colOff>228600</xdr:colOff>
      <xdr:row>20</xdr:row>
      <xdr:rowOff>115570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1A673A-FAF7-99D8-79D9-6CBDE4CE6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40005</xdr:colOff>
      <xdr:row>20</xdr:row>
      <xdr:rowOff>172403</xdr:rowOff>
    </xdr:from>
    <xdr:to>
      <xdr:col>51</xdr:col>
      <xdr:colOff>361951</xdr:colOff>
      <xdr:row>38</xdr:row>
      <xdr:rowOff>41531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FE5BD5E-2C60-5CFD-5E78-029E199AA7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E13FA-6A3F-40BB-807C-96BAC1F9CA36}">
  <sheetPr codeName="Planilha6"/>
  <dimension ref="A1:AP122"/>
  <sheetViews>
    <sheetView tabSelected="1" topLeftCell="Y1" workbookViewId="0">
      <selection activeCell="BB15" sqref="BB15"/>
    </sheetView>
  </sheetViews>
  <sheetFormatPr defaultRowHeight="14.4" x14ac:dyDescent="0.3"/>
  <cols>
    <col min="1" max="1" width="4.109375" customWidth="1"/>
    <col min="2" max="2" width="3" bestFit="1" customWidth="1"/>
    <col min="3" max="5" width="8.88671875" style="3"/>
    <col min="6" max="6" width="4.109375" customWidth="1"/>
    <col min="7" max="8" width="4" bestFit="1" customWidth="1"/>
    <col min="9" max="12" width="4.33203125" bestFit="1" customWidth="1"/>
    <col min="13" max="17" width="4.44140625" bestFit="1" customWidth="1"/>
    <col min="18" max="18" width="3.33203125" bestFit="1" customWidth="1"/>
    <col min="19" max="21" width="3.44140625" bestFit="1" customWidth="1"/>
    <col min="22" max="24" width="2.77734375" bestFit="1" customWidth="1"/>
    <col min="25" max="27" width="4.88671875" bestFit="1" customWidth="1"/>
    <col min="28" max="30" width="3" bestFit="1" customWidth="1"/>
    <col min="31" max="31" width="7.21875" bestFit="1" customWidth="1"/>
    <col min="32" max="32" width="11" bestFit="1" customWidth="1"/>
    <col min="33" max="33" width="8.77734375" bestFit="1" customWidth="1"/>
    <col min="34" max="34" width="7.77734375" bestFit="1" customWidth="1"/>
    <col min="35" max="35" width="9.33203125" bestFit="1" customWidth="1"/>
    <col min="37" max="37" width="13.21875" bestFit="1" customWidth="1"/>
    <col min="39" max="39" width="6.88671875" bestFit="1" customWidth="1"/>
    <col min="40" max="42" width="4" bestFit="1" customWidth="1"/>
  </cols>
  <sheetData>
    <row r="1" spans="1:42" x14ac:dyDescent="0.3">
      <c r="A1" s="6" t="s">
        <v>0</v>
      </c>
      <c r="B1" s="6" t="s">
        <v>1</v>
      </c>
      <c r="C1" s="4" t="s">
        <v>2</v>
      </c>
      <c r="D1" s="4" t="s">
        <v>3</v>
      </c>
      <c r="E1" s="4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K1" s="5" t="s">
        <v>35</v>
      </c>
      <c r="AM1" s="1" t="s">
        <v>36</v>
      </c>
      <c r="AN1" s="1" t="s">
        <v>2</v>
      </c>
      <c r="AO1" s="1" t="s">
        <v>3</v>
      </c>
      <c r="AP1" s="1" t="s">
        <v>4</v>
      </c>
    </row>
    <row r="2" spans="1:42" x14ac:dyDescent="0.3">
      <c r="A2">
        <v>0</v>
      </c>
      <c r="B2">
        <v>20</v>
      </c>
      <c r="C2" s="3">
        <v>100</v>
      </c>
      <c r="D2" s="3">
        <v>100</v>
      </c>
      <c r="E2" s="3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AK2" s="7">
        <f>500*SUM(AE3:AE62) + 250*SUM(AF3:AF62) + 10000*SUM(AG3:AG62) + 10000*SUM(AH3:AH62) + 0.1*SUM(AI3:AI62)</f>
        <v>1810767.2</v>
      </c>
      <c r="AM2">
        <f>INT((ROW()-1)/2)</f>
        <v>0</v>
      </c>
      <c r="AN2">
        <f>INDEX($C$2:$C$62, INT((ROW()-2)/2) + 1)</f>
        <v>100</v>
      </c>
      <c r="AO2">
        <f>INDEX($D$2:$D$62, INT((ROW()-2)/2) + 1)</f>
        <v>100</v>
      </c>
      <c r="AP2">
        <f>INDEX($E$2:$E$62, INT((ROW()-2)/2) + 1)</f>
        <v>100</v>
      </c>
    </row>
    <row r="3" spans="1:42" x14ac:dyDescent="0.3">
      <c r="A3">
        <f>A2+1</f>
        <v>1</v>
      </c>
      <c r="B3">
        <f>IF(A3&lt;=30, 20, 10)</f>
        <v>20</v>
      </c>
      <c r="C3" s="2">
        <v>77</v>
      </c>
      <c r="D3" s="2">
        <v>100</v>
      </c>
      <c r="E3" s="2">
        <v>79</v>
      </c>
      <c r="F3">
        <f>F2+R2-Y3</f>
        <v>100</v>
      </c>
      <c r="G3">
        <f>G2+S2-Z3</f>
        <v>100</v>
      </c>
      <c r="H3">
        <f>H2+T2-AA3</f>
        <v>100</v>
      </c>
      <c r="I3">
        <f>I2+L2-Y3</f>
        <v>100</v>
      </c>
      <c r="J3">
        <f>J2+Y3-Z3</f>
        <v>100</v>
      </c>
      <c r="K3">
        <f>K2+Z3-AA3</f>
        <v>100</v>
      </c>
      <c r="L3">
        <f>MAX(0, MIN(2000, V2 + 1*AB3))</f>
        <v>0</v>
      </c>
      <c r="M3">
        <f>MAX(0, MIN(2000, W2 + 1*AC3))</f>
        <v>0</v>
      </c>
      <c r="N3">
        <f>MAX(0, MIN(2000, X2 + 1*AD3))</f>
        <v>0</v>
      </c>
      <c r="O3">
        <f>MAX(0, MIN(2000, O2-Y3+M3))</f>
        <v>0</v>
      </c>
      <c r="P3">
        <f>MAX(0, MIN(2000, P2-Z3+N3))</f>
        <v>0</v>
      </c>
      <c r="Q3">
        <f>MAX(0, MIN(2000, Q2-AA3+B3))</f>
        <v>20</v>
      </c>
      <c r="R3">
        <f>L3</f>
        <v>0</v>
      </c>
      <c r="S3">
        <f>Y3</f>
        <v>0</v>
      </c>
      <c r="T3">
        <f>Z3</f>
        <v>0</v>
      </c>
      <c r="U3">
        <f>AA3</f>
        <v>0</v>
      </c>
      <c r="V3">
        <f>MAX(-2000, MIN(2000, V2 + 0*AB3))</f>
        <v>0</v>
      </c>
      <c r="W3">
        <f>MAX(-2000, MIN(2000, W2 + 0*AC3))</f>
        <v>0</v>
      </c>
      <c r="X3">
        <f>MAX(-2000, MIN(2000, X2 + 0*AD3))</f>
        <v>0</v>
      </c>
      <c r="Y3">
        <f>MIN(F2,O2)</f>
        <v>0</v>
      </c>
      <c r="Z3">
        <f>MIN(G2,P2)</f>
        <v>0</v>
      </c>
      <c r="AA3">
        <f>MIN(H2,Q2)</f>
        <v>0</v>
      </c>
      <c r="AB3">
        <f>C3-I2-L2+Y3</f>
        <v>-23</v>
      </c>
      <c r="AC3">
        <f>D3-J2-Y3+Z3</f>
        <v>0</v>
      </c>
      <c r="AD3">
        <f>E3-K2-Z3+AA3</f>
        <v>-21</v>
      </c>
      <c r="AE3">
        <f>(U3-B3)^2</f>
        <v>400</v>
      </c>
      <c r="AF3">
        <f>MAX(F3, G3, H3)</f>
        <v>100</v>
      </c>
      <c r="AG3">
        <f>MAX(0, -F3)^2 + MAX(0, -G3)^2 + MAX(0, -H3)^2</f>
        <v>0</v>
      </c>
      <c r="AH3">
        <f>MAX(0, U3-B3)^2</f>
        <v>0</v>
      </c>
      <c r="AI3">
        <f>IF(A3=1, 0, ABS(C3-C2) + ABS(D3-D2) + ABS(E3-E2))</f>
        <v>0</v>
      </c>
      <c r="AM3">
        <f t="shared" ref="AM3:AM66" si="0">INT((ROW()-1)/2)</f>
        <v>1</v>
      </c>
      <c r="AN3">
        <f t="shared" ref="AN3:AN66" si="1">INDEX($C$2:$C$62, INT((ROW()-2)/2) + 1)</f>
        <v>100</v>
      </c>
      <c r="AO3">
        <f t="shared" ref="AO3:AO66" si="2">INDEX($D$2:$D$62, INT((ROW()-2)/2) + 1)</f>
        <v>100</v>
      </c>
      <c r="AP3">
        <f t="shared" ref="AP3:AP66" si="3">INDEX($E$2:$E$62, INT((ROW()-2)/2) + 1)</f>
        <v>100</v>
      </c>
    </row>
    <row r="4" spans="1:42" x14ac:dyDescent="0.3">
      <c r="A4">
        <f t="shared" ref="A4:A62" si="4">A3+1</f>
        <v>2</v>
      </c>
      <c r="B4">
        <f t="shared" ref="B4:B62" si="5">IF(A4&lt;=30, 20, 10)</f>
        <v>20</v>
      </c>
      <c r="C4" s="2">
        <v>66</v>
      </c>
      <c r="D4" s="2">
        <v>80</v>
      </c>
      <c r="E4" s="2">
        <v>86</v>
      </c>
      <c r="F4">
        <f t="shared" ref="F4:F62" si="6">F3+R3-Y4</f>
        <v>100</v>
      </c>
      <c r="G4">
        <f t="shared" ref="G4:G62" si="7">G3+S3-Z4</f>
        <v>100</v>
      </c>
      <c r="H4">
        <f t="shared" ref="H4:H62" si="8">H3+T3-AA4</f>
        <v>80</v>
      </c>
      <c r="I4">
        <f t="shared" ref="I4:I62" si="9">I3+L3-Y4</f>
        <v>100</v>
      </c>
      <c r="J4">
        <f t="shared" ref="J4:J62" si="10">J3+Y4-Z4</f>
        <v>100</v>
      </c>
      <c r="K4">
        <f t="shared" ref="K4:K62" si="11">K3+Z4-AA4</f>
        <v>80</v>
      </c>
      <c r="L4">
        <f t="shared" ref="L4:L62" si="12">MAX(0, MIN(2000, V3 + 1*AB4))</f>
        <v>0</v>
      </c>
      <c r="M4">
        <f t="shared" ref="M4:M62" si="13">MAX(0, MIN(2000, W3 + 1*AC4))</f>
        <v>0</v>
      </c>
      <c r="N4">
        <f t="shared" ref="N4:N62" si="14">MAX(0, MIN(2000, X3 + 1*AD4))</f>
        <v>6</v>
      </c>
      <c r="O4">
        <f t="shared" ref="O4:O62" si="15">MAX(0, MIN(2000, O3-Y4+M4))</f>
        <v>0</v>
      </c>
      <c r="P4">
        <f t="shared" ref="P4:P62" si="16">MAX(0, MIN(2000, P3-Z4+N4))</f>
        <v>6</v>
      </c>
      <c r="Q4">
        <f t="shared" ref="Q4:Q62" si="17">MAX(0, MIN(2000, Q3-AA4+B4))</f>
        <v>20</v>
      </c>
      <c r="R4">
        <f t="shared" ref="R4:R62" si="18">L4</f>
        <v>0</v>
      </c>
      <c r="S4">
        <f t="shared" ref="S4:S62" si="19">Y4</f>
        <v>0</v>
      </c>
      <c r="T4">
        <f t="shared" ref="T4:T62" si="20">Z4</f>
        <v>0</v>
      </c>
      <c r="U4">
        <f t="shared" ref="U4:U62" si="21">AA4</f>
        <v>20</v>
      </c>
      <c r="V4">
        <f t="shared" ref="V4:V62" si="22">MAX(-2000, MIN(2000, V3 + 0*AB4))</f>
        <v>0</v>
      </c>
      <c r="W4">
        <f t="shared" ref="W4:W62" si="23">MAX(-2000, MIN(2000, W3 + 0*AC4))</f>
        <v>0</v>
      </c>
      <c r="X4">
        <f t="shared" ref="X4:X62" si="24">MAX(-2000, MIN(2000, X3 + 0*AD4))</f>
        <v>0</v>
      </c>
      <c r="Y4">
        <f t="shared" ref="Y4:Y62" si="25">MIN(F3,O3)</f>
        <v>0</v>
      </c>
      <c r="Z4">
        <f t="shared" ref="Z4:Z62" si="26">MIN(G3,P3)</f>
        <v>0</v>
      </c>
      <c r="AA4">
        <f t="shared" ref="AA4:AA62" si="27">MIN(H3,Q3)</f>
        <v>20</v>
      </c>
      <c r="AB4">
        <f t="shared" ref="AB4:AB62" si="28">C4-I3-L3+Y4</f>
        <v>-34</v>
      </c>
      <c r="AC4">
        <f t="shared" ref="AC4:AC62" si="29">D4-J3-Y4+Z4</f>
        <v>-20</v>
      </c>
      <c r="AD4">
        <f t="shared" ref="AD4:AD62" si="30">E4-K3-Z4+AA4</f>
        <v>6</v>
      </c>
      <c r="AE4">
        <f t="shared" ref="AE4:AE62" si="31">(U4-B4)^2</f>
        <v>0</v>
      </c>
      <c r="AF4">
        <f t="shared" ref="AF4:AF62" si="32">MAX(F4, G4, H4)</f>
        <v>100</v>
      </c>
      <c r="AG4">
        <f t="shared" ref="AG4:AG62" si="33">MAX(0, -F4)^2 + MAX(0, -G4)^2 + MAX(0, -H4)^2</f>
        <v>0</v>
      </c>
      <c r="AH4">
        <f t="shared" ref="AH4:AH62" si="34">MAX(0, U4-B4)^2</f>
        <v>0</v>
      </c>
      <c r="AI4">
        <f t="shared" ref="AI4:AI62" si="35">IF(A4=1, 0, ABS(C4-C3) + ABS(D4-D3) + ABS(E4-E3))</f>
        <v>38</v>
      </c>
      <c r="AM4">
        <f t="shared" si="0"/>
        <v>1</v>
      </c>
      <c r="AN4">
        <f t="shared" si="1"/>
        <v>77</v>
      </c>
      <c r="AO4">
        <f t="shared" si="2"/>
        <v>100</v>
      </c>
      <c r="AP4">
        <f t="shared" si="3"/>
        <v>79</v>
      </c>
    </row>
    <row r="5" spans="1:42" x14ac:dyDescent="0.3">
      <c r="A5">
        <f t="shared" si="4"/>
        <v>3</v>
      </c>
      <c r="B5">
        <f t="shared" si="5"/>
        <v>20</v>
      </c>
      <c r="C5" s="2">
        <v>68</v>
      </c>
      <c r="D5" s="2">
        <v>57.000000000000007</v>
      </c>
      <c r="E5" s="2">
        <v>114.00000000000001</v>
      </c>
      <c r="F5">
        <f t="shared" si="6"/>
        <v>100</v>
      </c>
      <c r="G5">
        <f t="shared" si="7"/>
        <v>94</v>
      </c>
      <c r="H5">
        <f t="shared" si="8"/>
        <v>60</v>
      </c>
      <c r="I5">
        <f t="shared" si="9"/>
        <v>100</v>
      </c>
      <c r="J5">
        <f t="shared" si="10"/>
        <v>94</v>
      </c>
      <c r="K5">
        <f t="shared" si="11"/>
        <v>66</v>
      </c>
      <c r="L5">
        <f t="shared" si="12"/>
        <v>0</v>
      </c>
      <c r="M5">
        <f t="shared" si="13"/>
        <v>0</v>
      </c>
      <c r="N5">
        <f t="shared" si="14"/>
        <v>48.000000000000014</v>
      </c>
      <c r="O5">
        <f t="shared" si="15"/>
        <v>0</v>
      </c>
      <c r="P5">
        <f t="shared" si="16"/>
        <v>48.000000000000014</v>
      </c>
      <c r="Q5">
        <f t="shared" si="17"/>
        <v>20</v>
      </c>
      <c r="R5">
        <f t="shared" si="18"/>
        <v>0</v>
      </c>
      <c r="S5">
        <f t="shared" si="19"/>
        <v>0</v>
      </c>
      <c r="T5">
        <f t="shared" si="20"/>
        <v>6</v>
      </c>
      <c r="U5">
        <f t="shared" si="21"/>
        <v>20</v>
      </c>
      <c r="V5">
        <f t="shared" si="22"/>
        <v>0</v>
      </c>
      <c r="W5">
        <f t="shared" si="23"/>
        <v>0</v>
      </c>
      <c r="X5">
        <f t="shared" si="24"/>
        <v>0</v>
      </c>
      <c r="Y5">
        <f t="shared" si="25"/>
        <v>0</v>
      </c>
      <c r="Z5">
        <f t="shared" si="26"/>
        <v>6</v>
      </c>
      <c r="AA5">
        <f t="shared" si="27"/>
        <v>20</v>
      </c>
      <c r="AB5">
        <f t="shared" si="28"/>
        <v>-32</v>
      </c>
      <c r="AC5">
        <f t="shared" si="29"/>
        <v>-36.999999999999993</v>
      </c>
      <c r="AD5">
        <f t="shared" si="30"/>
        <v>48.000000000000014</v>
      </c>
      <c r="AE5">
        <f t="shared" si="31"/>
        <v>0</v>
      </c>
      <c r="AF5">
        <f t="shared" si="32"/>
        <v>100</v>
      </c>
      <c r="AG5">
        <f t="shared" si="33"/>
        <v>0</v>
      </c>
      <c r="AH5">
        <f t="shared" si="34"/>
        <v>0</v>
      </c>
      <c r="AI5">
        <f t="shared" si="35"/>
        <v>53.000000000000007</v>
      </c>
      <c r="AM5">
        <f t="shared" si="0"/>
        <v>2</v>
      </c>
      <c r="AN5">
        <f t="shared" si="1"/>
        <v>77</v>
      </c>
      <c r="AO5">
        <f t="shared" si="2"/>
        <v>100</v>
      </c>
      <c r="AP5">
        <f t="shared" si="3"/>
        <v>79</v>
      </c>
    </row>
    <row r="6" spans="1:42" x14ac:dyDescent="0.3">
      <c r="A6">
        <f t="shared" si="4"/>
        <v>4</v>
      </c>
      <c r="B6">
        <f t="shared" si="5"/>
        <v>20</v>
      </c>
      <c r="C6" s="2">
        <v>74</v>
      </c>
      <c r="D6" s="2">
        <v>70</v>
      </c>
      <c r="E6" s="2">
        <v>55</v>
      </c>
      <c r="F6">
        <f t="shared" si="6"/>
        <v>100</v>
      </c>
      <c r="G6">
        <f t="shared" si="7"/>
        <v>45.999999999999986</v>
      </c>
      <c r="H6">
        <f t="shared" si="8"/>
        <v>46</v>
      </c>
      <c r="I6">
        <f t="shared" si="9"/>
        <v>100</v>
      </c>
      <c r="J6">
        <f t="shared" si="10"/>
        <v>45.999999999999986</v>
      </c>
      <c r="K6">
        <f t="shared" si="11"/>
        <v>94.000000000000014</v>
      </c>
      <c r="L6">
        <f t="shared" si="12"/>
        <v>0</v>
      </c>
      <c r="M6">
        <f t="shared" si="13"/>
        <v>24.000000000000014</v>
      </c>
      <c r="N6">
        <f t="shared" si="14"/>
        <v>0</v>
      </c>
      <c r="O6">
        <f t="shared" si="15"/>
        <v>24.000000000000014</v>
      </c>
      <c r="P6">
        <f t="shared" si="16"/>
        <v>0</v>
      </c>
      <c r="Q6">
        <f t="shared" si="17"/>
        <v>20</v>
      </c>
      <c r="R6">
        <f t="shared" si="18"/>
        <v>0</v>
      </c>
      <c r="S6">
        <f t="shared" si="19"/>
        <v>0</v>
      </c>
      <c r="T6">
        <f t="shared" si="20"/>
        <v>48.000000000000014</v>
      </c>
      <c r="U6">
        <f t="shared" si="21"/>
        <v>20</v>
      </c>
      <c r="V6">
        <f t="shared" si="22"/>
        <v>0</v>
      </c>
      <c r="W6">
        <f t="shared" si="23"/>
        <v>0</v>
      </c>
      <c r="X6">
        <f t="shared" si="24"/>
        <v>0</v>
      </c>
      <c r="Y6">
        <f t="shared" si="25"/>
        <v>0</v>
      </c>
      <c r="Z6">
        <f t="shared" si="26"/>
        <v>48.000000000000014</v>
      </c>
      <c r="AA6">
        <f t="shared" si="27"/>
        <v>20</v>
      </c>
      <c r="AB6">
        <f t="shared" si="28"/>
        <v>-26</v>
      </c>
      <c r="AC6">
        <f t="shared" si="29"/>
        <v>24.000000000000014</v>
      </c>
      <c r="AD6">
        <f t="shared" si="30"/>
        <v>-39.000000000000014</v>
      </c>
      <c r="AE6">
        <f t="shared" si="31"/>
        <v>0</v>
      </c>
      <c r="AF6">
        <f t="shared" si="32"/>
        <v>100</v>
      </c>
      <c r="AG6">
        <f t="shared" si="33"/>
        <v>0</v>
      </c>
      <c r="AH6">
        <f t="shared" si="34"/>
        <v>0</v>
      </c>
      <c r="AI6">
        <f t="shared" si="35"/>
        <v>78</v>
      </c>
      <c r="AM6">
        <f t="shared" si="0"/>
        <v>2</v>
      </c>
      <c r="AN6">
        <f t="shared" si="1"/>
        <v>66</v>
      </c>
      <c r="AO6">
        <f t="shared" si="2"/>
        <v>80</v>
      </c>
      <c r="AP6">
        <f t="shared" si="3"/>
        <v>86</v>
      </c>
    </row>
    <row r="7" spans="1:42" x14ac:dyDescent="0.3">
      <c r="A7">
        <f t="shared" si="4"/>
        <v>5</v>
      </c>
      <c r="B7">
        <f t="shared" si="5"/>
        <v>20</v>
      </c>
      <c r="C7" s="2">
        <v>62</v>
      </c>
      <c r="D7" s="2">
        <v>74</v>
      </c>
      <c r="E7" s="2">
        <v>72</v>
      </c>
      <c r="F7">
        <f t="shared" si="6"/>
        <v>75.999999999999986</v>
      </c>
      <c r="G7">
        <f t="shared" si="7"/>
        <v>45.999999999999986</v>
      </c>
      <c r="H7">
        <f t="shared" si="8"/>
        <v>74.000000000000014</v>
      </c>
      <c r="I7">
        <f t="shared" si="9"/>
        <v>75.999999999999986</v>
      </c>
      <c r="J7">
        <f t="shared" si="10"/>
        <v>70</v>
      </c>
      <c r="K7">
        <f t="shared" si="11"/>
        <v>74.000000000000014</v>
      </c>
      <c r="L7">
        <f t="shared" si="12"/>
        <v>0</v>
      </c>
      <c r="M7">
        <f t="shared" si="13"/>
        <v>4</v>
      </c>
      <c r="N7">
        <f t="shared" si="14"/>
        <v>0</v>
      </c>
      <c r="O7">
        <f t="shared" si="15"/>
        <v>4</v>
      </c>
      <c r="P7">
        <f t="shared" si="16"/>
        <v>0</v>
      </c>
      <c r="Q7">
        <f t="shared" si="17"/>
        <v>20</v>
      </c>
      <c r="R7">
        <f t="shared" si="18"/>
        <v>0</v>
      </c>
      <c r="S7">
        <f t="shared" si="19"/>
        <v>24.000000000000014</v>
      </c>
      <c r="T7">
        <f t="shared" si="20"/>
        <v>0</v>
      </c>
      <c r="U7">
        <f t="shared" si="21"/>
        <v>20</v>
      </c>
      <c r="V7">
        <f t="shared" si="22"/>
        <v>0</v>
      </c>
      <c r="W7">
        <f t="shared" si="23"/>
        <v>0</v>
      </c>
      <c r="X7">
        <f t="shared" si="24"/>
        <v>0</v>
      </c>
      <c r="Y7">
        <f t="shared" si="25"/>
        <v>24.000000000000014</v>
      </c>
      <c r="Z7">
        <f t="shared" si="26"/>
        <v>0</v>
      </c>
      <c r="AA7">
        <f t="shared" si="27"/>
        <v>20</v>
      </c>
      <c r="AB7">
        <f t="shared" si="28"/>
        <v>-13.999999999999986</v>
      </c>
      <c r="AC7">
        <f t="shared" si="29"/>
        <v>4</v>
      </c>
      <c r="AD7">
        <f t="shared" si="30"/>
        <v>-2.0000000000000142</v>
      </c>
      <c r="AE7">
        <f t="shared" si="31"/>
        <v>0</v>
      </c>
      <c r="AF7">
        <f t="shared" si="32"/>
        <v>75.999999999999986</v>
      </c>
      <c r="AG7">
        <f t="shared" si="33"/>
        <v>0</v>
      </c>
      <c r="AH7">
        <f t="shared" si="34"/>
        <v>0</v>
      </c>
      <c r="AI7">
        <f t="shared" si="35"/>
        <v>33</v>
      </c>
      <c r="AM7">
        <f t="shared" si="0"/>
        <v>3</v>
      </c>
      <c r="AN7">
        <f t="shared" si="1"/>
        <v>66</v>
      </c>
      <c r="AO7">
        <f t="shared" si="2"/>
        <v>80</v>
      </c>
      <c r="AP7">
        <f t="shared" si="3"/>
        <v>86</v>
      </c>
    </row>
    <row r="8" spans="1:42" x14ac:dyDescent="0.3">
      <c r="A8">
        <f t="shared" si="4"/>
        <v>6</v>
      </c>
      <c r="B8">
        <f t="shared" si="5"/>
        <v>20</v>
      </c>
      <c r="C8" s="2">
        <v>72</v>
      </c>
      <c r="D8" s="2">
        <v>100</v>
      </c>
      <c r="E8" s="2">
        <v>106</v>
      </c>
      <c r="F8">
        <f t="shared" si="6"/>
        <v>71.999999999999986</v>
      </c>
      <c r="G8">
        <f t="shared" si="7"/>
        <v>70</v>
      </c>
      <c r="H8">
        <f t="shared" si="8"/>
        <v>54.000000000000014</v>
      </c>
      <c r="I8">
        <f t="shared" si="9"/>
        <v>71.999999999999986</v>
      </c>
      <c r="J8">
        <f t="shared" si="10"/>
        <v>74</v>
      </c>
      <c r="K8">
        <f t="shared" si="11"/>
        <v>54.000000000000014</v>
      </c>
      <c r="L8">
        <f t="shared" si="12"/>
        <v>1.4210854715202004E-14</v>
      </c>
      <c r="M8">
        <f t="shared" si="13"/>
        <v>26</v>
      </c>
      <c r="N8">
        <f t="shared" si="14"/>
        <v>51.999999999999986</v>
      </c>
      <c r="O8">
        <f t="shared" si="15"/>
        <v>26</v>
      </c>
      <c r="P8">
        <f t="shared" si="16"/>
        <v>51.999999999999986</v>
      </c>
      <c r="Q8">
        <f t="shared" si="17"/>
        <v>20</v>
      </c>
      <c r="R8">
        <f t="shared" si="18"/>
        <v>1.4210854715202004E-14</v>
      </c>
      <c r="S8">
        <f t="shared" si="19"/>
        <v>4</v>
      </c>
      <c r="T8">
        <f t="shared" si="20"/>
        <v>0</v>
      </c>
      <c r="U8">
        <f t="shared" si="21"/>
        <v>20</v>
      </c>
      <c r="V8">
        <f t="shared" si="22"/>
        <v>0</v>
      </c>
      <c r="W8">
        <f t="shared" si="23"/>
        <v>0</v>
      </c>
      <c r="X8">
        <f t="shared" si="24"/>
        <v>0</v>
      </c>
      <c r="Y8">
        <f t="shared" si="25"/>
        <v>4</v>
      </c>
      <c r="Z8">
        <f t="shared" si="26"/>
        <v>0</v>
      </c>
      <c r="AA8">
        <f t="shared" si="27"/>
        <v>20</v>
      </c>
      <c r="AB8">
        <f t="shared" si="28"/>
        <v>1.4210854715202004E-14</v>
      </c>
      <c r="AC8">
        <f t="shared" si="29"/>
        <v>26</v>
      </c>
      <c r="AD8">
        <f t="shared" si="30"/>
        <v>51.999999999999986</v>
      </c>
      <c r="AE8">
        <f t="shared" si="31"/>
        <v>0</v>
      </c>
      <c r="AF8">
        <f t="shared" si="32"/>
        <v>71.999999999999986</v>
      </c>
      <c r="AG8">
        <f t="shared" si="33"/>
        <v>0</v>
      </c>
      <c r="AH8">
        <f t="shared" si="34"/>
        <v>0</v>
      </c>
      <c r="AI8">
        <f t="shared" si="35"/>
        <v>70</v>
      </c>
      <c r="AM8">
        <f t="shared" si="0"/>
        <v>3</v>
      </c>
      <c r="AN8">
        <f t="shared" si="1"/>
        <v>68</v>
      </c>
      <c r="AO8">
        <f t="shared" si="2"/>
        <v>57.000000000000007</v>
      </c>
      <c r="AP8">
        <f t="shared" si="3"/>
        <v>114.00000000000001</v>
      </c>
    </row>
    <row r="9" spans="1:42" x14ac:dyDescent="0.3">
      <c r="A9">
        <f t="shared" si="4"/>
        <v>7</v>
      </c>
      <c r="B9">
        <f t="shared" si="5"/>
        <v>20</v>
      </c>
      <c r="C9" s="2">
        <v>83</v>
      </c>
      <c r="D9" s="2">
        <v>83</v>
      </c>
      <c r="E9" s="2">
        <v>78</v>
      </c>
      <c r="F9">
        <f t="shared" si="6"/>
        <v>46</v>
      </c>
      <c r="G9">
        <f t="shared" si="7"/>
        <v>22.000000000000014</v>
      </c>
      <c r="H9">
        <f t="shared" si="8"/>
        <v>34.000000000000014</v>
      </c>
      <c r="I9">
        <f t="shared" si="9"/>
        <v>46</v>
      </c>
      <c r="J9">
        <f t="shared" si="10"/>
        <v>48.000000000000014</v>
      </c>
      <c r="K9">
        <f t="shared" si="11"/>
        <v>86</v>
      </c>
      <c r="L9">
        <f t="shared" si="12"/>
        <v>37</v>
      </c>
      <c r="M9">
        <f t="shared" si="13"/>
        <v>34.999999999999986</v>
      </c>
      <c r="N9">
        <f t="shared" si="14"/>
        <v>0</v>
      </c>
      <c r="O9">
        <f t="shared" si="15"/>
        <v>34.999999999999986</v>
      </c>
      <c r="P9">
        <f t="shared" si="16"/>
        <v>0</v>
      </c>
      <c r="Q9">
        <f t="shared" si="17"/>
        <v>20</v>
      </c>
      <c r="R9">
        <f t="shared" si="18"/>
        <v>37</v>
      </c>
      <c r="S9">
        <f t="shared" si="19"/>
        <v>26</v>
      </c>
      <c r="T9">
        <f t="shared" si="20"/>
        <v>51.999999999999986</v>
      </c>
      <c r="U9">
        <f t="shared" si="21"/>
        <v>20</v>
      </c>
      <c r="V9">
        <f t="shared" si="22"/>
        <v>0</v>
      </c>
      <c r="W9">
        <f t="shared" si="23"/>
        <v>0</v>
      </c>
      <c r="X9">
        <f t="shared" si="24"/>
        <v>0</v>
      </c>
      <c r="Y9">
        <f t="shared" si="25"/>
        <v>26</v>
      </c>
      <c r="Z9">
        <f t="shared" si="26"/>
        <v>51.999999999999986</v>
      </c>
      <c r="AA9">
        <f t="shared" si="27"/>
        <v>20</v>
      </c>
      <c r="AB9">
        <f t="shared" si="28"/>
        <v>37</v>
      </c>
      <c r="AC9">
        <f t="shared" si="29"/>
        <v>34.999999999999986</v>
      </c>
      <c r="AD9">
        <f t="shared" si="30"/>
        <v>-8</v>
      </c>
      <c r="AE9">
        <f t="shared" si="31"/>
        <v>0</v>
      </c>
      <c r="AF9">
        <f t="shared" si="32"/>
        <v>46</v>
      </c>
      <c r="AG9">
        <f t="shared" si="33"/>
        <v>0</v>
      </c>
      <c r="AH9">
        <f t="shared" si="34"/>
        <v>0</v>
      </c>
      <c r="AI9">
        <f t="shared" si="35"/>
        <v>56</v>
      </c>
      <c r="AM9">
        <f t="shared" si="0"/>
        <v>4</v>
      </c>
      <c r="AN9">
        <f t="shared" si="1"/>
        <v>68</v>
      </c>
      <c r="AO9">
        <f t="shared" si="2"/>
        <v>57.000000000000007</v>
      </c>
      <c r="AP9">
        <f t="shared" si="3"/>
        <v>114.00000000000001</v>
      </c>
    </row>
    <row r="10" spans="1:42" x14ac:dyDescent="0.3">
      <c r="A10">
        <f t="shared" si="4"/>
        <v>8</v>
      </c>
      <c r="B10">
        <f t="shared" si="5"/>
        <v>20</v>
      </c>
      <c r="C10" s="2">
        <v>64</v>
      </c>
      <c r="D10" s="2">
        <v>97</v>
      </c>
      <c r="E10" s="2">
        <v>86</v>
      </c>
      <c r="F10">
        <f t="shared" si="6"/>
        <v>48.000000000000014</v>
      </c>
      <c r="G10">
        <f t="shared" si="7"/>
        <v>48.000000000000014</v>
      </c>
      <c r="H10">
        <f t="shared" si="8"/>
        <v>66</v>
      </c>
      <c r="I10">
        <f t="shared" si="9"/>
        <v>48.000000000000014</v>
      </c>
      <c r="J10">
        <f t="shared" si="10"/>
        <v>83</v>
      </c>
      <c r="K10">
        <f t="shared" si="11"/>
        <v>66</v>
      </c>
      <c r="L10">
        <f t="shared" si="12"/>
        <v>15.999999999999986</v>
      </c>
      <c r="M10">
        <f t="shared" si="13"/>
        <v>14</v>
      </c>
      <c r="N10">
        <f t="shared" si="14"/>
        <v>20</v>
      </c>
      <c r="O10">
        <f t="shared" si="15"/>
        <v>14</v>
      </c>
      <c r="P10">
        <f t="shared" si="16"/>
        <v>20</v>
      </c>
      <c r="Q10">
        <f t="shared" si="17"/>
        <v>20</v>
      </c>
      <c r="R10">
        <f t="shared" si="18"/>
        <v>15.999999999999986</v>
      </c>
      <c r="S10">
        <f t="shared" si="19"/>
        <v>34.999999999999986</v>
      </c>
      <c r="T10">
        <f t="shared" si="20"/>
        <v>0</v>
      </c>
      <c r="U10">
        <f t="shared" si="21"/>
        <v>20</v>
      </c>
      <c r="V10">
        <f t="shared" si="22"/>
        <v>0</v>
      </c>
      <c r="W10">
        <f t="shared" si="23"/>
        <v>0</v>
      </c>
      <c r="X10">
        <f t="shared" si="24"/>
        <v>0</v>
      </c>
      <c r="Y10">
        <f t="shared" si="25"/>
        <v>34.999999999999986</v>
      </c>
      <c r="Z10">
        <f t="shared" si="26"/>
        <v>0</v>
      </c>
      <c r="AA10">
        <f t="shared" si="27"/>
        <v>20</v>
      </c>
      <c r="AB10">
        <f t="shared" si="28"/>
        <v>15.999999999999986</v>
      </c>
      <c r="AC10">
        <f t="shared" si="29"/>
        <v>14</v>
      </c>
      <c r="AD10">
        <f t="shared" si="30"/>
        <v>20</v>
      </c>
      <c r="AE10">
        <f t="shared" si="31"/>
        <v>0</v>
      </c>
      <c r="AF10">
        <f t="shared" si="32"/>
        <v>66</v>
      </c>
      <c r="AG10">
        <f t="shared" si="33"/>
        <v>0</v>
      </c>
      <c r="AH10">
        <f t="shared" si="34"/>
        <v>0</v>
      </c>
      <c r="AI10">
        <f t="shared" si="35"/>
        <v>41</v>
      </c>
      <c r="AM10">
        <f t="shared" si="0"/>
        <v>4</v>
      </c>
      <c r="AN10">
        <f t="shared" si="1"/>
        <v>74</v>
      </c>
      <c r="AO10">
        <f t="shared" si="2"/>
        <v>70</v>
      </c>
      <c r="AP10">
        <f t="shared" si="3"/>
        <v>55</v>
      </c>
    </row>
    <row r="11" spans="1:42" x14ac:dyDescent="0.3">
      <c r="A11">
        <f t="shared" si="4"/>
        <v>9</v>
      </c>
      <c r="B11">
        <f t="shared" si="5"/>
        <v>20</v>
      </c>
      <c r="C11" s="2">
        <v>96</v>
      </c>
      <c r="D11" s="2">
        <v>104</v>
      </c>
      <c r="E11" s="2">
        <v>108</v>
      </c>
      <c r="F11">
        <f t="shared" si="6"/>
        <v>50</v>
      </c>
      <c r="G11">
        <f t="shared" si="7"/>
        <v>63</v>
      </c>
      <c r="H11">
        <f t="shared" si="8"/>
        <v>46</v>
      </c>
      <c r="I11">
        <f t="shared" si="9"/>
        <v>50</v>
      </c>
      <c r="J11">
        <f t="shared" si="10"/>
        <v>77</v>
      </c>
      <c r="K11">
        <f t="shared" si="11"/>
        <v>66</v>
      </c>
      <c r="L11">
        <f t="shared" si="12"/>
        <v>46</v>
      </c>
      <c r="M11">
        <f t="shared" si="13"/>
        <v>27</v>
      </c>
      <c r="N11">
        <f t="shared" si="14"/>
        <v>42</v>
      </c>
      <c r="O11">
        <f t="shared" si="15"/>
        <v>27</v>
      </c>
      <c r="P11">
        <f t="shared" si="16"/>
        <v>42</v>
      </c>
      <c r="Q11">
        <f t="shared" si="17"/>
        <v>20</v>
      </c>
      <c r="R11">
        <f t="shared" si="18"/>
        <v>46</v>
      </c>
      <c r="S11">
        <f t="shared" si="19"/>
        <v>14</v>
      </c>
      <c r="T11">
        <f t="shared" si="20"/>
        <v>20</v>
      </c>
      <c r="U11">
        <f t="shared" si="21"/>
        <v>20</v>
      </c>
      <c r="V11">
        <f t="shared" si="22"/>
        <v>0</v>
      </c>
      <c r="W11">
        <f t="shared" si="23"/>
        <v>0</v>
      </c>
      <c r="X11">
        <f t="shared" si="24"/>
        <v>0</v>
      </c>
      <c r="Y11">
        <f t="shared" si="25"/>
        <v>14</v>
      </c>
      <c r="Z11">
        <f t="shared" si="26"/>
        <v>20</v>
      </c>
      <c r="AA11">
        <f t="shared" si="27"/>
        <v>20</v>
      </c>
      <c r="AB11">
        <f t="shared" si="28"/>
        <v>46</v>
      </c>
      <c r="AC11">
        <f t="shared" si="29"/>
        <v>27</v>
      </c>
      <c r="AD11">
        <f t="shared" si="30"/>
        <v>42</v>
      </c>
      <c r="AE11">
        <f t="shared" si="31"/>
        <v>0</v>
      </c>
      <c r="AF11">
        <f t="shared" si="32"/>
        <v>63</v>
      </c>
      <c r="AG11">
        <f t="shared" si="33"/>
        <v>0</v>
      </c>
      <c r="AH11">
        <f t="shared" si="34"/>
        <v>0</v>
      </c>
      <c r="AI11">
        <f t="shared" si="35"/>
        <v>61</v>
      </c>
      <c r="AM11">
        <f t="shared" si="0"/>
        <v>5</v>
      </c>
      <c r="AN11">
        <f t="shared" si="1"/>
        <v>74</v>
      </c>
      <c r="AO11">
        <f t="shared" si="2"/>
        <v>70</v>
      </c>
      <c r="AP11">
        <f t="shared" si="3"/>
        <v>55</v>
      </c>
    </row>
    <row r="12" spans="1:42" x14ac:dyDescent="0.3">
      <c r="A12">
        <f t="shared" si="4"/>
        <v>10</v>
      </c>
      <c r="B12">
        <f t="shared" si="5"/>
        <v>20</v>
      </c>
      <c r="C12" s="2">
        <v>67</v>
      </c>
      <c r="D12" s="2">
        <v>54</v>
      </c>
      <c r="E12" s="2">
        <v>80</v>
      </c>
      <c r="F12">
        <f t="shared" si="6"/>
        <v>69</v>
      </c>
      <c r="G12">
        <f t="shared" si="7"/>
        <v>35</v>
      </c>
      <c r="H12">
        <f t="shared" si="8"/>
        <v>46</v>
      </c>
      <c r="I12">
        <f t="shared" si="9"/>
        <v>69</v>
      </c>
      <c r="J12">
        <f t="shared" si="10"/>
        <v>62</v>
      </c>
      <c r="K12">
        <f t="shared" si="11"/>
        <v>88</v>
      </c>
      <c r="L12">
        <f t="shared" si="12"/>
        <v>0</v>
      </c>
      <c r="M12">
        <f t="shared" si="13"/>
        <v>0</v>
      </c>
      <c r="N12">
        <f t="shared" si="14"/>
        <v>0</v>
      </c>
      <c r="O12">
        <f t="shared" si="15"/>
        <v>0</v>
      </c>
      <c r="P12">
        <f t="shared" si="16"/>
        <v>0</v>
      </c>
      <c r="Q12">
        <f t="shared" si="17"/>
        <v>20</v>
      </c>
      <c r="R12">
        <f t="shared" si="18"/>
        <v>0</v>
      </c>
      <c r="S12">
        <f t="shared" si="19"/>
        <v>27</v>
      </c>
      <c r="T12">
        <f t="shared" si="20"/>
        <v>42</v>
      </c>
      <c r="U12">
        <f t="shared" si="21"/>
        <v>20</v>
      </c>
      <c r="V12">
        <f t="shared" si="22"/>
        <v>0</v>
      </c>
      <c r="W12">
        <f t="shared" si="23"/>
        <v>0</v>
      </c>
      <c r="X12">
        <f t="shared" si="24"/>
        <v>0</v>
      </c>
      <c r="Y12">
        <f t="shared" si="25"/>
        <v>27</v>
      </c>
      <c r="Z12">
        <f t="shared" si="26"/>
        <v>42</v>
      </c>
      <c r="AA12">
        <f t="shared" si="27"/>
        <v>20</v>
      </c>
      <c r="AB12">
        <f t="shared" si="28"/>
        <v>-2</v>
      </c>
      <c r="AC12">
        <f t="shared" si="29"/>
        <v>-8</v>
      </c>
      <c r="AD12">
        <f t="shared" si="30"/>
        <v>-8</v>
      </c>
      <c r="AE12">
        <f t="shared" si="31"/>
        <v>0</v>
      </c>
      <c r="AF12">
        <f t="shared" si="32"/>
        <v>69</v>
      </c>
      <c r="AG12">
        <f t="shared" si="33"/>
        <v>0</v>
      </c>
      <c r="AH12">
        <f t="shared" si="34"/>
        <v>0</v>
      </c>
      <c r="AI12">
        <f t="shared" si="35"/>
        <v>107</v>
      </c>
      <c r="AM12">
        <f t="shared" si="0"/>
        <v>5</v>
      </c>
      <c r="AN12">
        <f t="shared" si="1"/>
        <v>62</v>
      </c>
      <c r="AO12">
        <f t="shared" si="2"/>
        <v>74</v>
      </c>
      <c r="AP12">
        <f t="shared" si="3"/>
        <v>72</v>
      </c>
    </row>
    <row r="13" spans="1:42" x14ac:dyDescent="0.3">
      <c r="A13">
        <f t="shared" si="4"/>
        <v>11</v>
      </c>
      <c r="B13">
        <f t="shared" si="5"/>
        <v>20</v>
      </c>
      <c r="C13" s="2">
        <v>76</v>
      </c>
      <c r="D13" s="2">
        <v>91</v>
      </c>
      <c r="E13" s="2">
        <v>81</v>
      </c>
      <c r="F13">
        <f t="shared" si="6"/>
        <v>69</v>
      </c>
      <c r="G13">
        <f t="shared" si="7"/>
        <v>62</v>
      </c>
      <c r="H13">
        <f t="shared" si="8"/>
        <v>68</v>
      </c>
      <c r="I13">
        <f t="shared" si="9"/>
        <v>69</v>
      </c>
      <c r="J13">
        <f t="shared" si="10"/>
        <v>62</v>
      </c>
      <c r="K13">
        <f t="shared" si="11"/>
        <v>68</v>
      </c>
      <c r="L13">
        <f t="shared" si="12"/>
        <v>7</v>
      </c>
      <c r="M13">
        <f t="shared" si="13"/>
        <v>29</v>
      </c>
      <c r="N13">
        <f t="shared" si="14"/>
        <v>13</v>
      </c>
      <c r="O13">
        <f t="shared" si="15"/>
        <v>29</v>
      </c>
      <c r="P13">
        <f t="shared" si="16"/>
        <v>13</v>
      </c>
      <c r="Q13">
        <f t="shared" si="17"/>
        <v>20</v>
      </c>
      <c r="R13">
        <f t="shared" si="18"/>
        <v>7</v>
      </c>
      <c r="S13">
        <f t="shared" si="19"/>
        <v>0</v>
      </c>
      <c r="T13">
        <f t="shared" si="20"/>
        <v>0</v>
      </c>
      <c r="U13">
        <f t="shared" si="21"/>
        <v>20</v>
      </c>
      <c r="V13">
        <f t="shared" si="22"/>
        <v>0</v>
      </c>
      <c r="W13">
        <f t="shared" si="23"/>
        <v>0</v>
      </c>
      <c r="X13">
        <f t="shared" si="24"/>
        <v>0</v>
      </c>
      <c r="Y13">
        <f t="shared" si="25"/>
        <v>0</v>
      </c>
      <c r="Z13">
        <f t="shared" si="26"/>
        <v>0</v>
      </c>
      <c r="AA13">
        <f t="shared" si="27"/>
        <v>20</v>
      </c>
      <c r="AB13">
        <f t="shared" si="28"/>
        <v>7</v>
      </c>
      <c r="AC13">
        <f t="shared" si="29"/>
        <v>29</v>
      </c>
      <c r="AD13">
        <f t="shared" si="30"/>
        <v>13</v>
      </c>
      <c r="AE13">
        <f t="shared" si="31"/>
        <v>0</v>
      </c>
      <c r="AF13">
        <f t="shared" si="32"/>
        <v>69</v>
      </c>
      <c r="AG13">
        <f t="shared" si="33"/>
        <v>0</v>
      </c>
      <c r="AH13">
        <f t="shared" si="34"/>
        <v>0</v>
      </c>
      <c r="AI13">
        <f t="shared" si="35"/>
        <v>47</v>
      </c>
      <c r="AM13">
        <f t="shared" si="0"/>
        <v>6</v>
      </c>
      <c r="AN13">
        <f t="shared" si="1"/>
        <v>62</v>
      </c>
      <c r="AO13">
        <f t="shared" si="2"/>
        <v>74</v>
      </c>
      <c r="AP13">
        <f t="shared" si="3"/>
        <v>72</v>
      </c>
    </row>
    <row r="14" spans="1:42" x14ac:dyDescent="0.3">
      <c r="A14">
        <f t="shared" si="4"/>
        <v>12</v>
      </c>
      <c r="B14">
        <f t="shared" si="5"/>
        <v>20</v>
      </c>
      <c r="C14" s="2">
        <v>89</v>
      </c>
      <c r="D14" s="2">
        <v>71</v>
      </c>
      <c r="E14" s="2">
        <v>106.99999999999999</v>
      </c>
      <c r="F14">
        <f t="shared" si="6"/>
        <v>47</v>
      </c>
      <c r="G14">
        <f t="shared" si="7"/>
        <v>49</v>
      </c>
      <c r="H14">
        <f t="shared" si="8"/>
        <v>48</v>
      </c>
      <c r="I14">
        <f t="shared" si="9"/>
        <v>47</v>
      </c>
      <c r="J14">
        <f t="shared" si="10"/>
        <v>78</v>
      </c>
      <c r="K14">
        <f t="shared" si="11"/>
        <v>61</v>
      </c>
      <c r="L14">
        <f t="shared" si="12"/>
        <v>42</v>
      </c>
      <c r="M14">
        <f t="shared" si="13"/>
        <v>0</v>
      </c>
      <c r="N14">
        <f t="shared" si="14"/>
        <v>45.999999999999986</v>
      </c>
      <c r="O14">
        <f t="shared" si="15"/>
        <v>0</v>
      </c>
      <c r="P14">
        <f t="shared" si="16"/>
        <v>45.999999999999986</v>
      </c>
      <c r="Q14">
        <f t="shared" si="17"/>
        <v>20</v>
      </c>
      <c r="R14">
        <f t="shared" si="18"/>
        <v>42</v>
      </c>
      <c r="S14">
        <f t="shared" si="19"/>
        <v>29</v>
      </c>
      <c r="T14">
        <f t="shared" si="20"/>
        <v>13</v>
      </c>
      <c r="U14">
        <f t="shared" si="21"/>
        <v>20</v>
      </c>
      <c r="V14">
        <f t="shared" si="22"/>
        <v>0</v>
      </c>
      <c r="W14">
        <f t="shared" si="23"/>
        <v>0</v>
      </c>
      <c r="X14">
        <f t="shared" si="24"/>
        <v>0</v>
      </c>
      <c r="Y14">
        <f t="shared" si="25"/>
        <v>29</v>
      </c>
      <c r="Z14">
        <f t="shared" si="26"/>
        <v>13</v>
      </c>
      <c r="AA14">
        <f t="shared" si="27"/>
        <v>20</v>
      </c>
      <c r="AB14">
        <f t="shared" si="28"/>
        <v>42</v>
      </c>
      <c r="AC14">
        <f t="shared" si="29"/>
        <v>-7</v>
      </c>
      <c r="AD14">
        <f t="shared" si="30"/>
        <v>45.999999999999986</v>
      </c>
      <c r="AE14">
        <f t="shared" si="31"/>
        <v>0</v>
      </c>
      <c r="AF14">
        <f t="shared" si="32"/>
        <v>49</v>
      </c>
      <c r="AG14">
        <f t="shared" si="33"/>
        <v>0</v>
      </c>
      <c r="AH14">
        <f t="shared" si="34"/>
        <v>0</v>
      </c>
      <c r="AI14">
        <f t="shared" si="35"/>
        <v>58.999999999999986</v>
      </c>
      <c r="AM14">
        <f t="shared" si="0"/>
        <v>6</v>
      </c>
      <c r="AN14">
        <f t="shared" si="1"/>
        <v>72</v>
      </c>
      <c r="AO14">
        <f t="shared" si="2"/>
        <v>100</v>
      </c>
      <c r="AP14">
        <f t="shared" si="3"/>
        <v>106</v>
      </c>
    </row>
    <row r="15" spans="1:42" x14ac:dyDescent="0.3">
      <c r="A15">
        <f t="shared" si="4"/>
        <v>13</v>
      </c>
      <c r="B15">
        <f t="shared" si="5"/>
        <v>20</v>
      </c>
      <c r="C15" s="2">
        <v>76</v>
      </c>
      <c r="D15" s="2">
        <v>88</v>
      </c>
      <c r="E15" s="2">
        <v>83</v>
      </c>
      <c r="F15">
        <f t="shared" si="6"/>
        <v>89</v>
      </c>
      <c r="G15">
        <f t="shared" si="7"/>
        <v>32.000000000000014</v>
      </c>
      <c r="H15">
        <f t="shared" si="8"/>
        <v>41</v>
      </c>
      <c r="I15">
        <f t="shared" si="9"/>
        <v>89</v>
      </c>
      <c r="J15">
        <f t="shared" si="10"/>
        <v>32.000000000000014</v>
      </c>
      <c r="K15">
        <f t="shared" si="11"/>
        <v>86.999999999999986</v>
      </c>
      <c r="L15">
        <f t="shared" si="12"/>
        <v>0</v>
      </c>
      <c r="M15">
        <f t="shared" si="13"/>
        <v>55.999999999999986</v>
      </c>
      <c r="N15">
        <f t="shared" si="14"/>
        <v>0</v>
      </c>
      <c r="O15">
        <f t="shared" si="15"/>
        <v>55.999999999999986</v>
      </c>
      <c r="P15">
        <f t="shared" si="16"/>
        <v>0</v>
      </c>
      <c r="Q15">
        <f t="shared" si="17"/>
        <v>20</v>
      </c>
      <c r="R15">
        <f t="shared" si="18"/>
        <v>0</v>
      </c>
      <c r="S15">
        <f t="shared" si="19"/>
        <v>0</v>
      </c>
      <c r="T15">
        <f t="shared" si="20"/>
        <v>45.999999999999986</v>
      </c>
      <c r="U15">
        <f t="shared" si="21"/>
        <v>20</v>
      </c>
      <c r="V15">
        <f t="shared" si="22"/>
        <v>0</v>
      </c>
      <c r="W15">
        <f t="shared" si="23"/>
        <v>0</v>
      </c>
      <c r="X15">
        <f t="shared" si="24"/>
        <v>0</v>
      </c>
      <c r="Y15">
        <f t="shared" si="25"/>
        <v>0</v>
      </c>
      <c r="Z15">
        <f t="shared" si="26"/>
        <v>45.999999999999986</v>
      </c>
      <c r="AA15">
        <f t="shared" si="27"/>
        <v>20</v>
      </c>
      <c r="AB15">
        <f t="shared" si="28"/>
        <v>-13</v>
      </c>
      <c r="AC15">
        <f t="shared" si="29"/>
        <v>55.999999999999986</v>
      </c>
      <c r="AD15">
        <f t="shared" si="30"/>
        <v>-3.9999999999999858</v>
      </c>
      <c r="AE15">
        <f t="shared" si="31"/>
        <v>0</v>
      </c>
      <c r="AF15">
        <f t="shared" si="32"/>
        <v>89</v>
      </c>
      <c r="AG15">
        <f t="shared" si="33"/>
        <v>0</v>
      </c>
      <c r="AH15">
        <f t="shared" si="34"/>
        <v>0</v>
      </c>
      <c r="AI15">
        <f t="shared" si="35"/>
        <v>53.999999999999986</v>
      </c>
      <c r="AM15">
        <f t="shared" si="0"/>
        <v>7</v>
      </c>
      <c r="AN15">
        <f t="shared" si="1"/>
        <v>72</v>
      </c>
      <c r="AO15">
        <f t="shared" si="2"/>
        <v>100</v>
      </c>
      <c r="AP15">
        <f t="shared" si="3"/>
        <v>106</v>
      </c>
    </row>
    <row r="16" spans="1:42" x14ac:dyDescent="0.3">
      <c r="A16">
        <f t="shared" si="4"/>
        <v>14</v>
      </c>
      <c r="B16">
        <f t="shared" si="5"/>
        <v>20</v>
      </c>
      <c r="C16" s="2">
        <v>73</v>
      </c>
      <c r="D16" s="2">
        <v>98</v>
      </c>
      <c r="E16" s="2">
        <v>101.00000000000001</v>
      </c>
      <c r="F16">
        <f t="shared" si="6"/>
        <v>33.000000000000014</v>
      </c>
      <c r="G16">
        <f t="shared" si="7"/>
        <v>32.000000000000014</v>
      </c>
      <c r="H16">
        <f t="shared" si="8"/>
        <v>66.999999999999986</v>
      </c>
      <c r="I16">
        <f t="shared" si="9"/>
        <v>33.000000000000014</v>
      </c>
      <c r="J16">
        <f t="shared" si="10"/>
        <v>88</v>
      </c>
      <c r="K16">
        <f t="shared" si="11"/>
        <v>66.999999999999986</v>
      </c>
      <c r="L16">
        <f t="shared" si="12"/>
        <v>39.999999999999986</v>
      </c>
      <c r="M16">
        <f t="shared" si="13"/>
        <v>10</v>
      </c>
      <c r="N16">
        <f t="shared" si="14"/>
        <v>34.000000000000028</v>
      </c>
      <c r="O16">
        <f t="shared" si="15"/>
        <v>10</v>
      </c>
      <c r="P16">
        <f t="shared" si="16"/>
        <v>34.000000000000028</v>
      </c>
      <c r="Q16">
        <f t="shared" si="17"/>
        <v>20</v>
      </c>
      <c r="R16">
        <f t="shared" si="18"/>
        <v>39.999999999999986</v>
      </c>
      <c r="S16">
        <f t="shared" si="19"/>
        <v>55.999999999999986</v>
      </c>
      <c r="T16">
        <f t="shared" si="20"/>
        <v>0</v>
      </c>
      <c r="U16">
        <f t="shared" si="21"/>
        <v>20</v>
      </c>
      <c r="V16">
        <f t="shared" si="22"/>
        <v>0</v>
      </c>
      <c r="W16">
        <f t="shared" si="23"/>
        <v>0</v>
      </c>
      <c r="X16">
        <f t="shared" si="24"/>
        <v>0</v>
      </c>
      <c r="Y16">
        <f t="shared" si="25"/>
        <v>55.999999999999986</v>
      </c>
      <c r="Z16">
        <f t="shared" si="26"/>
        <v>0</v>
      </c>
      <c r="AA16">
        <f t="shared" si="27"/>
        <v>20</v>
      </c>
      <c r="AB16">
        <f t="shared" si="28"/>
        <v>39.999999999999986</v>
      </c>
      <c r="AC16">
        <f t="shared" si="29"/>
        <v>10</v>
      </c>
      <c r="AD16">
        <f t="shared" si="30"/>
        <v>34.000000000000028</v>
      </c>
      <c r="AE16">
        <f t="shared" si="31"/>
        <v>0</v>
      </c>
      <c r="AF16">
        <f t="shared" si="32"/>
        <v>66.999999999999986</v>
      </c>
      <c r="AG16">
        <f t="shared" si="33"/>
        <v>0</v>
      </c>
      <c r="AH16">
        <f t="shared" si="34"/>
        <v>0</v>
      </c>
      <c r="AI16">
        <f t="shared" si="35"/>
        <v>31.000000000000014</v>
      </c>
      <c r="AM16">
        <f t="shared" si="0"/>
        <v>7</v>
      </c>
      <c r="AN16">
        <f t="shared" si="1"/>
        <v>83</v>
      </c>
      <c r="AO16">
        <f t="shared" si="2"/>
        <v>83</v>
      </c>
      <c r="AP16">
        <f t="shared" si="3"/>
        <v>78</v>
      </c>
    </row>
    <row r="17" spans="1:42" x14ac:dyDescent="0.3">
      <c r="A17">
        <f t="shared" si="4"/>
        <v>15</v>
      </c>
      <c r="B17">
        <f t="shared" si="5"/>
        <v>20</v>
      </c>
      <c r="C17" s="2">
        <v>87.000000000000014</v>
      </c>
      <c r="D17" s="2">
        <v>61</v>
      </c>
      <c r="E17" s="2">
        <v>74</v>
      </c>
      <c r="F17">
        <f t="shared" si="6"/>
        <v>63</v>
      </c>
      <c r="G17">
        <f t="shared" si="7"/>
        <v>55.999999999999986</v>
      </c>
      <c r="H17">
        <f t="shared" si="8"/>
        <v>46.999999999999986</v>
      </c>
      <c r="I17">
        <f t="shared" si="9"/>
        <v>63</v>
      </c>
      <c r="J17">
        <f t="shared" si="10"/>
        <v>65.999999999999986</v>
      </c>
      <c r="K17">
        <f t="shared" si="11"/>
        <v>79</v>
      </c>
      <c r="L17">
        <f t="shared" si="12"/>
        <v>24.000000000000014</v>
      </c>
      <c r="M17">
        <f t="shared" si="13"/>
        <v>0</v>
      </c>
      <c r="N17">
        <f t="shared" si="14"/>
        <v>0</v>
      </c>
      <c r="O17">
        <f t="shared" si="15"/>
        <v>0</v>
      </c>
      <c r="P17">
        <f t="shared" si="16"/>
        <v>2.0000000000000142</v>
      </c>
      <c r="Q17">
        <f t="shared" si="17"/>
        <v>20</v>
      </c>
      <c r="R17">
        <f t="shared" si="18"/>
        <v>24.000000000000014</v>
      </c>
      <c r="S17">
        <f t="shared" si="19"/>
        <v>10</v>
      </c>
      <c r="T17">
        <f t="shared" si="20"/>
        <v>32.000000000000014</v>
      </c>
      <c r="U17">
        <f t="shared" si="21"/>
        <v>20</v>
      </c>
      <c r="V17">
        <f t="shared" si="22"/>
        <v>0</v>
      </c>
      <c r="W17">
        <f t="shared" si="23"/>
        <v>0</v>
      </c>
      <c r="X17">
        <f t="shared" si="24"/>
        <v>0</v>
      </c>
      <c r="Y17">
        <f t="shared" si="25"/>
        <v>10</v>
      </c>
      <c r="Z17">
        <f t="shared" si="26"/>
        <v>32.000000000000014</v>
      </c>
      <c r="AA17">
        <f t="shared" si="27"/>
        <v>20</v>
      </c>
      <c r="AB17">
        <f t="shared" si="28"/>
        <v>24.000000000000014</v>
      </c>
      <c r="AC17">
        <f t="shared" si="29"/>
        <v>-4.9999999999999858</v>
      </c>
      <c r="AD17">
        <f t="shared" si="30"/>
        <v>-5</v>
      </c>
      <c r="AE17">
        <f t="shared" si="31"/>
        <v>0</v>
      </c>
      <c r="AF17">
        <f t="shared" si="32"/>
        <v>63</v>
      </c>
      <c r="AG17">
        <f t="shared" si="33"/>
        <v>0</v>
      </c>
      <c r="AH17">
        <f t="shared" si="34"/>
        <v>0</v>
      </c>
      <c r="AI17">
        <f t="shared" si="35"/>
        <v>78.000000000000028</v>
      </c>
      <c r="AM17">
        <f t="shared" si="0"/>
        <v>8</v>
      </c>
      <c r="AN17">
        <f t="shared" si="1"/>
        <v>83</v>
      </c>
      <c r="AO17">
        <f t="shared" si="2"/>
        <v>83</v>
      </c>
      <c r="AP17">
        <f t="shared" si="3"/>
        <v>78</v>
      </c>
    </row>
    <row r="18" spans="1:42" x14ac:dyDescent="0.3">
      <c r="A18">
        <f t="shared" si="4"/>
        <v>16</v>
      </c>
      <c r="B18">
        <f t="shared" si="5"/>
        <v>20</v>
      </c>
      <c r="C18" s="2">
        <v>85</v>
      </c>
      <c r="D18" s="2">
        <v>75</v>
      </c>
      <c r="E18" s="2">
        <v>82</v>
      </c>
      <c r="F18">
        <f t="shared" si="6"/>
        <v>87.000000000000014</v>
      </c>
      <c r="G18">
        <f t="shared" si="7"/>
        <v>63.999999999999972</v>
      </c>
      <c r="H18">
        <f t="shared" si="8"/>
        <v>59</v>
      </c>
      <c r="I18">
        <f t="shared" si="9"/>
        <v>87.000000000000014</v>
      </c>
      <c r="J18">
        <f t="shared" si="10"/>
        <v>63.999999999999972</v>
      </c>
      <c r="K18">
        <f t="shared" si="11"/>
        <v>61.000000000000014</v>
      </c>
      <c r="L18">
        <f t="shared" si="12"/>
        <v>0</v>
      </c>
      <c r="M18">
        <f t="shared" si="13"/>
        <v>11.000000000000028</v>
      </c>
      <c r="N18">
        <f t="shared" si="14"/>
        <v>20.999999999999986</v>
      </c>
      <c r="O18">
        <f t="shared" si="15"/>
        <v>11.000000000000028</v>
      </c>
      <c r="P18">
        <f t="shared" si="16"/>
        <v>20.999999999999986</v>
      </c>
      <c r="Q18">
        <f t="shared" si="17"/>
        <v>20</v>
      </c>
      <c r="R18">
        <f t="shared" si="18"/>
        <v>0</v>
      </c>
      <c r="S18">
        <f t="shared" si="19"/>
        <v>0</v>
      </c>
      <c r="T18">
        <f t="shared" si="20"/>
        <v>2.0000000000000142</v>
      </c>
      <c r="U18">
        <f t="shared" si="21"/>
        <v>20</v>
      </c>
      <c r="V18">
        <f t="shared" si="22"/>
        <v>0</v>
      </c>
      <c r="W18">
        <f t="shared" si="23"/>
        <v>0</v>
      </c>
      <c r="X18">
        <f t="shared" si="24"/>
        <v>0</v>
      </c>
      <c r="Y18">
        <f t="shared" si="25"/>
        <v>0</v>
      </c>
      <c r="Z18">
        <f t="shared" si="26"/>
        <v>2.0000000000000142</v>
      </c>
      <c r="AA18">
        <f t="shared" si="27"/>
        <v>20</v>
      </c>
      <c r="AB18">
        <f t="shared" si="28"/>
        <v>-2.0000000000000142</v>
      </c>
      <c r="AC18">
        <f t="shared" si="29"/>
        <v>11.000000000000028</v>
      </c>
      <c r="AD18">
        <f t="shared" si="30"/>
        <v>20.999999999999986</v>
      </c>
      <c r="AE18">
        <f t="shared" si="31"/>
        <v>0</v>
      </c>
      <c r="AF18">
        <f t="shared" si="32"/>
        <v>87.000000000000014</v>
      </c>
      <c r="AG18">
        <f t="shared" si="33"/>
        <v>0</v>
      </c>
      <c r="AH18">
        <f t="shared" si="34"/>
        <v>0</v>
      </c>
      <c r="AI18">
        <f t="shared" si="35"/>
        <v>24.000000000000014</v>
      </c>
      <c r="AM18">
        <f t="shared" si="0"/>
        <v>8</v>
      </c>
      <c r="AN18">
        <f t="shared" si="1"/>
        <v>64</v>
      </c>
      <c r="AO18">
        <f t="shared" si="2"/>
        <v>97</v>
      </c>
      <c r="AP18">
        <f t="shared" si="3"/>
        <v>86</v>
      </c>
    </row>
    <row r="19" spans="1:42" x14ac:dyDescent="0.3">
      <c r="A19">
        <f t="shared" si="4"/>
        <v>17</v>
      </c>
      <c r="B19">
        <f t="shared" si="5"/>
        <v>20</v>
      </c>
      <c r="C19" s="2">
        <v>87</v>
      </c>
      <c r="D19" s="2">
        <v>95</v>
      </c>
      <c r="E19" s="2">
        <v>95</v>
      </c>
      <c r="F19">
        <f t="shared" si="6"/>
        <v>75.999999999999986</v>
      </c>
      <c r="G19">
        <f t="shared" si="7"/>
        <v>42.999999999999986</v>
      </c>
      <c r="H19">
        <f t="shared" si="8"/>
        <v>41.000000000000014</v>
      </c>
      <c r="I19">
        <f t="shared" si="9"/>
        <v>75.999999999999986</v>
      </c>
      <c r="J19">
        <f t="shared" si="10"/>
        <v>54.000000000000014</v>
      </c>
      <c r="K19">
        <f t="shared" si="11"/>
        <v>62</v>
      </c>
      <c r="L19">
        <f t="shared" si="12"/>
        <v>11.000000000000014</v>
      </c>
      <c r="M19">
        <f t="shared" si="13"/>
        <v>40.999999999999986</v>
      </c>
      <c r="N19">
        <f t="shared" si="14"/>
        <v>33</v>
      </c>
      <c r="O19">
        <f t="shared" si="15"/>
        <v>40.999999999999986</v>
      </c>
      <c r="P19">
        <f t="shared" si="16"/>
        <v>33</v>
      </c>
      <c r="Q19">
        <f t="shared" si="17"/>
        <v>20</v>
      </c>
      <c r="R19">
        <f t="shared" si="18"/>
        <v>11.000000000000014</v>
      </c>
      <c r="S19">
        <f t="shared" si="19"/>
        <v>11.000000000000028</v>
      </c>
      <c r="T19">
        <f t="shared" si="20"/>
        <v>20.999999999999986</v>
      </c>
      <c r="U19">
        <f t="shared" si="21"/>
        <v>20</v>
      </c>
      <c r="V19">
        <f t="shared" si="22"/>
        <v>0</v>
      </c>
      <c r="W19">
        <f t="shared" si="23"/>
        <v>0</v>
      </c>
      <c r="X19">
        <f t="shared" si="24"/>
        <v>0</v>
      </c>
      <c r="Y19">
        <f t="shared" si="25"/>
        <v>11.000000000000028</v>
      </c>
      <c r="Z19">
        <f t="shared" si="26"/>
        <v>20.999999999999986</v>
      </c>
      <c r="AA19">
        <f t="shared" si="27"/>
        <v>20</v>
      </c>
      <c r="AB19">
        <f t="shared" si="28"/>
        <v>11.000000000000014</v>
      </c>
      <c r="AC19">
        <f t="shared" si="29"/>
        <v>40.999999999999986</v>
      </c>
      <c r="AD19">
        <f t="shared" si="30"/>
        <v>33</v>
      </c>
      <c r="AE19">
        <f t="shared" si="31"/>
        <v>0</v>
      </c>
      <c r="AF19">
        <f t="shared" si="32"/>
        <v>75.999999999999986</v>
      </c>
      <c r="AG19">
        <f t="shared" si="33"/>
        <v>0</v>
      </c>
      <c r="AH19">
        <f t="shared" si="34"/>
        <v>0</v>
      </c>
      <c r="AI19">
        <f t="shared" si="35"/>
        <v>35</v>
      </c>
      <c r="AM19">
        <f t="shared" si="0"/>
        <v>9</v>
      </c>
      <c r="AN19">
        <f t="shared" si="1"/>
        <v>64</v>
      </c>
      <c r="AO19">
        <f t="shared" si="2"/>
        <v>97</v>
      </c>
      <c r="AP19">
        <f t="shared" si="3"/>
        <v>86</v>
      </c>
    </row>
    <row r="20" spans="1:42" x14ac:dyDescent="0.3">
      <c r="A20">
        <f t="shared" si="4"/>
        <v>18</v>
      </c>
      <c r="B20">
        <f t="shared" si="5"/>
        <v>20</v>
      </c>
      <c r="C20" s="2">
        <v>81</v>
      </c>
      <c r="D20" s="2">
        <v>87</v>
      </c>
      <c r="E20" s="2">
        <v>88</v>
      </c>
      <c r="F20">
        <f t="shared" si="6"/>
        <v>46.000000000000014</v>
      </c>
      <c r="G20">
        <f t="shared" si="7"/>
        <v>21.000000000000014</v>
      </c>
      <c r="H20">
        <f t="shared" si="8"/>
        <v>42</v>
      </c>
      <c r="I20">
        <f t="shared" si="9"/>
        <v>46.000000000000014</v>
      </c>
      <c r="J20">
        <f t="shared" si="10"/>
        <v>62</v>
      </c>
      <c r="K20">
        <f t="shared" si="11"/>
        <v>75</v>
      </c>
      <c r="L20">
        <f t="shared" si="12"/>
        <v>34.999999999999986</v>
      </c>
      <c r="M20">
        <f t="shared" si="13"/>
        <v>25</v>
      </c>
      <c r="N20">
        <f t="shared" si="14"/>
        <v>13</v>
      </c>
      <c r="O20">
        <f t="shared" si="15"/>
        <v>25</v>
      </c>
      <c r="P20">
        <f t="shared" si="16"/>
        <v>13</v>
      </c>
      <c r="Q20">
        <f t="shared" si="17"/>
        <v>20</v>
      </c>
      <c r="R20">
        <f t="shared" si="18"/>
        <v>34.999999999999986</v>
      </c>
      <c r="S20">
        <f t="shared" si="19"/>
        <v>40.999999999999986</v>
      </c>
      <c r="T20">
        <f t="shared" si="20"/>
        <v>33</v>
      </c>
      <c r="U20">
        <f t="shared" si="21"/>
        <v>20</v>
      </c>
      <c r="V20">
        <f t="shared" si="22"/>
        <v>0</v>
      </c>
      <c r="W20">
        <f t="shared" si="23"/>
        <v>0</v>
      </c>
      <c r="X20">
        <f t="shared" si="24"/>
        <v>0</v>
      </c>
      <c r="Y20">
        <f t="shared" si="25"/>
        <v>40.999999999999986</v>
      </c>
      <c r="Z20">
        <f t="shared" si="26"/>
        <v>33</v>
      </c>
      <c r="AA20">
        <f t="shared" si="27"/>
        <v>20</v>
      </c>
      <c r="AB20">
        <f t="shared" si="28"/>
        <v>34.999999999999986</v>
      </c>
      <c r="AC20">
        <f t="shared" si="29"/>
        <v>25</v>
      </c>
      <c r="AD20">
        <f t="shared" si="30"/>
        <v>13</v>
      </c>
      <c r="AE20">
        <f t="shared" si="31"/>
        <v>0</v>
      </c>
      <c r="AF20">
        <f t="shared" si="32"/>
        <v>46.000000000000014</v>
      </c>
      <c r="AG20">
        <f t="shared" si="33"/>
        <v>0</v>
      </c>
      <c r="AH20">
        <f t="shared" si="34"/>
        <v>0</v>
      </c>
      <c r="AI20">
        <f t="shared" si="35"/>
        <v>21</v>
      </c>
      <c r="AM20">
        <f t="shared" si="0"/>
        <v>9</v>
      </c>
      <c r="AN20">
        <f t="shared" si="1"/>
        <v>96</v>
      </c>
      <c r="AO20">
        <f t="shared" si="2"/>
        <v>104</v>
      </c>
      <c r="AP20">
        <f t="shared" si="3"/>
        <v>108</v>
      </c>
    </row>
    <row r="21" spans="1:42" x14ac:dyDescent="0.3">
      <c r="A21">
        <f t="shared" si="4"/>
        <v>19</v>
      </c>
      <c r="B21">
        <f t="shared" si="5"/>
        <v>20</v>
      </c>
      <c r="C21" s="2">
        <v>62</v>
      </c>
      <c r="D21" s="2">
        <v>85</v>
      </c>
      <c r="E21" s="2">
        <v>103</v>
      </c>
      <c r="F21">
        <f t="shared" si="6"/>
        <v>56</v>
      </c>
      <c r="G21">
        <f t="shared" si="7"/>
        <v>49</v>
      </c>
      <c r="H21">
        <f t="shared" si="8"/>
        <v>55</v>
      </c>
      <c r="I21">
        <f t="shared" si="9"/>
        <v>56</v>
      </c>
      <c r="J21">
        <f t="shared" si="10"/>
        <v>74</v>
      </c>
      <c r="K21">
        <f t="shared" si="11"/>
        <v>68</v>
      </c>
      <c r="L21">
        <f t="shared" si="12"/>
        <v>6</v>
      </c>
      <c r="M21">
        <f t="shared" si="13"/>
        <v>11</v>
      </c>
      <c r="N21">
        <f t="shared" si="14"/>
        <v>35</v>
      </c>
      <c r="O21">
        <f t="shared" si="15"/>
        <v>11</v>
      </c>
      <c r="P21">
        <f t="shared" si="16"/>
        <v>35</v>
      </c>
      <c r="Q21">
        <f t="shared" si="17"/>
        <v>20</v>
      </c>
      <c r="R21">
        <f t="shared" si="18"/>
        <v>6</v>
      </c>
      <c r="S21">
        <f t="shared" si="19"/>
        <v>25</v>
      </c>
      <c r="T21">
        <f t="shared" si="20"/>
        <v>13</v>
      </c>
      <c r="U21">
        <f t="shared" si="21"/>
        <v>20</v>
      </c>
      <c r="V21">
        <f t="shared" si="22"/>
        <v>0</v>
      </c>
      <c r="W21">
        <f t="shared" si="23"/>
        <v>0</v>
      </c>
      <c r="X21">
        <f t="shared" si="24"/>
        <v>0</v>
      </c>
      <c r="Y21">
        <f t="shared" si="25"/>
        <v>25</v>
      </c>
      <c r="Z21">
        <f t="shared" si="26"/>
        <v>13</v>
      </c>
      <c r="AA21">
        <f t="shared" si="27"/>
        <v>20</v>
      </c>
      <c r="AB21">
        <f t="shared" si="28"/>
        <v>6</v>
      </c>
      <c r="AC21">
        <f t="shared" si="29"/>
        <v>11</v>
      </c>
      <c r="AD21">
        <f t="shared" si="30"/>
        <v>35</v>
      </c>
      <c r="AE21">
        <f t="shared" si="31"/>
        <v>0</v>
      </c>
      <c r="AF21">
        <f t="shared" si="32"/>
        <v>56</v>
      </c>
      <c r="AG21">
        <f t="shared" si="33"/>
        <v>0</v>
      </c>
      <c r="AH21">
        <f t="shared" si="34"/>
        <v>0</v>
      </c>
      <c r="AI21">
        <f t="shared" si="35"/>
        <v>36</v>
      </c>
      <c r="AM21">
        <f t="shared" si="0"/>
        <v>10</v>
      </c>
      <c r="AN21">
        <f t="shared" si="1"/>
        <v>96</v>
      </c>
      <c r="AO21">
        <f t="shared" si="2"/>
        <v>104</v>
      </c>
      <c r="AP21">
        <f t="shared" si="3"/>
        <v>108</v>
      </c>
    </row>
    <row r="22" spans="1:42" x14ac:dyDescent="0.3">
      <c r="A22">
        <f t="shared" si="4"/>
        <v>20</v>
      </c>
      <c r="B22">
        <f t="shared" si="5"/>
        <v>20</v>
      </c>
      <c r="C22" s="2">
        <v>97.000000000000014</v>
      </c>
      <c r="D22" s="2">
        <v>87</v>
      </c>
      <c r="E22" s="2">
        <v>89</v>
      </c>
      <c r="F22">
        <f t="shared" si="6"/>
        <v>51</v>
      </c>
      <c r="G22">
        <f t="shared" si="7"/>
        <v>39</v>
      </c>
      <c r="H22">
        <f t="shared" si="8"/>
        <v>48</v>
      </c>
      <c r="I22">
        <f t="shared" si="9"/>
        <v>51</v>
      </c>
      <c r="J22">
        <f t="shared" si="10"/>
        <v>50</v>
      </c>
      <c r="K22">
        <f t="shared" si="11"/>
        <v>83</v>
      </c>
      <c r="L22">
        <f t="shared" si="12"/>
        <v>46.000000000000014</v>
      </c>
      <c r="M22">
        <f t="shared" si="13"/>
        <v>37</v>
      </c>
      <c r="N22">
        <f t="shared" si="14"/>
        <v>6</v>
      </c>
      <c r="O22">
        <f t="shared" si="15"/>
        <v>37</v>
      </c>
      <c r="P22">
        <f t="shared" si="16"/>
        <v>6</v>
      </c>
      <c r="Q22">
        <f t="shared" si="17"/>
        <v>20</v>
      </c>
      <c r="R22">
        <f t="shared" si="18"/>
        <v>46.000000000000014</v>
      </c>
      <c r="S22">
        <f t="shared" si="19"/>
        <v>11</v>
      </c>
      <c r="T22">
        <f t="shared" si="20"/>
        <v>35</v>
      </c>
      <c r="U22">
        <f t="shared" si="21"/>
        <v>20</v>
      </c>
      <c r="V22">
        <f t="shared" si="22"/>
        <v>0</v>
      </c>
      <c r="W22">
        <f t="shared" si="23"/>
        <v>0</v>
      </c>
      <c r="X22">
        <f t="shared" si="24"/>
        <v>0</v>
      </c>
      <c r="Y22">
        <f t="shared" si="25"/>
        <v>11</v>
      </c>
      <c r="Z22">
        <f t="shared" si="26"/>
        <v>35</v>
      </c>
      <c r="AA22">
        <f t="shared" si="27"/>
        <v>20</v>
      </c>
      <c r="AB22">
        <f t="shared" si="28"/>
        <v>46.000000000000014</v>
      </c>
      <c r="AC22">
        <f t="shared" si="29"/>
        <v>37</v>
      </c>
      <c r="AD22">
        <f t="shared" si="30"/>
        <v>6</v>
      </c>
      <c r="AE22">
        <f t="shared" si="31"/>
        <v>0</v>
      </c>
      <c r="AF22">
        <f t="shared" si="32"/>
        <v>51</v>
      </c>
      <c r="AG22">
        <f t="shared" si="33"/>
        <v>0</v>
      </c>
      <c r="AH22">
        <f t="shared" si="34"/>
        <v>0</v>
      </c>
      <c r="AI22">
        <f t="shared" si="35"/>
        <v>51.000000000000014</v>
      </c>
      <c r="AM22">
        <f t="shared" si="0"/>
        <v>10</v>
      </c>
      <c r="AN22">
        <f t="shared" si="1"/>
        <v>67</v>
      </c>
      <c r="AO22">
        <f t="shared" si="2"/>
        <v>54</v>
      </c>
      <c r="AP22">
        <f t="shared" si="3"/>
        <v>80</v>
      </c>
    </row>
    <row r="23" spans="1:42" x14ac:dyDescent="0.3">
      <c r="A23">
        <f t="shared" si="4"/>
        <v>21</v>
      </c>
      <c r="B23">
        <f t="shared" si="5"/>
        <v>20</v>
      </c>
      <c r="C23" s="2">
        <v>76</v>
      </c>
      <c r="D23" s="2">
        <v>72</v>
      </c>
      <c r="E23" s="2">
        <v>94</v>
      </c>
      <c r="F23">
        <f t="shared" si="6"/>
        <v>60.000000000000014</v>
      </c>
      <c r="G23">
        <f t="shared" si="7"/>
        <v>44</v>
      </c>
      <c r="H23">
        <f t="shared" si="8"/>
        <v>63</v>
      </c>
      <c r="I23">
        <f t="shared" si="9"/>
        <v>60.000000000000014</v>
      </c>
      <c r="J23">
        <f t="shared" si="10"/>
        <v>81</v>
      </c>
      <c r="K23">
        <f t="shared" si="11"/>
        <v>69</v>
      </c>
      <c r="L23">
        <f t="shared" si="12"/>
        <v>15.999999999999986</v>
      </c>
      <c r="M23">
        <f t="shared" si="13"/>
        <v>0</v>
      </c>
      <c r="N23">
        <f t="shared" si="14"/>
        <v>25</v>
      </c>
      <c r="O23">
        <f t="shared" si="15"/>
        <v>0</v>
      </c>
      <c r="P23">
        <f t="shared" si="16"/>
        <v>25</v>
      </c>
      <c r="Q23">
        <f t="shared" si="17"/>
        <v>20</v>
      </c>
      <c r="R23">
        <f t="shared" si="18"/>
        <v>15.999999999999986</v>
      </c>
      <c r="S23">
        <f t="shared" si="19"/>
        <v>37</v>
      </c>
      <c r="T23">
        <f t="shared" si="20"/>
        <v>6</v>
      </c>
      <c r="U23">
        <f t="shared" si="21"/>
        <v>20</v>
      </c>
      <c r="V23">
        <f t="shared" si="22"/>
        <v>0</v>
      </c>
      <c r="W23">
        <f t="shared" si="23"/>
        <v>0</v>
      </c>
      <c r="X23">
        <f t="shared" si="24"/>
        <v>0</v>
      </c>
      <c r="Y23">
        <f t="shared" si="25"/>
        <v>37</v>
      </c>
      <c r="Z23">
        <f t="shared" si="26"/>
        <v>6</v>
      </c>
      <c r="AA23">
        <f t="shared" si="27"/>
        <v>20</v>
      </c>
      <c r="AB23">
        <f t="shared" si="28"/>
        <v>15.999999999999986</v>
      </c>
      <c r="AC23">
        <f t="shared" si="29"/>
        <v>-9</v>
      </c>
      <c r="AD23">
        <f t="shared" si="30"/>
        <v>25</v>
      </c>
      <c r="AE23">
        <f t="shared" si="31"/>
        <v>0</v>
      </c>
      <c r="AF23">
        <f t="shared" si="32"/>
        <v>63</v>
      </c>
      <c r="AG23">
        <f t="shared" si="33"/>
        <v>0</v>
      </c>
      <c r="AH23">
        <f t="shared" si="34"/>
        <v>0</v>
      </c>
      <c r="AI23">
        <f t="shared" si="35"/>
        <v>41.000000000000014</v>
      </c>
      <c r="AM23">
        <f t="shared" si="0"/>
        <v>11</v>
      </c>
      <c r="AN23">
        <f t="shared" si="1"/>
        <v>67</v>
      </c>
      <c r="AO23">
        <f t="shared" si="2"/>
        <v>54</v>
      </c>
      <c r="AP23">
        <f t="shared" si="3"/>
        <v>80</v>
      </c>
    </row>
    <row r="24" spans="1:42" x14ac:dyDescent="0.3">
      <c r="A24">
        <f t="shared" si="4"/>
        <v>22</v>
      </c>
      <c r="B24">
        <f t="shared" si="5"/>
        <v>20</v>
      </c>
      <c r="C24" s="2">
        <v>65</v>
      </c>
      <c r="D24" s="2">
        <v>63</v>
      </c>
      <c r="E24" s="2">
        <v>82</v>
      </c>
      <c r="F24">
        <f t="shared" si="6"/>
        <v>76</v>
      </c>
      <c r="G24">
        <f t="shared" si="7"/>
        <v>56</v>
      </c>
      <c r="H24">
        <f t="shared" si="8"/>
        <v>49</v>
      </c>
      <c r="I24">
        <f t="shared" si="9"/>
        <v>76</v>
      </c>
      <c r="J24">
        <f t="shared" si="10"/>
        <v>56</v>
      </c>
      <c r="K24">
        <f t="shared" si="11"/>
        <v>74</v>
      </c>
      <c r="L24">
        <f t="shared" si="12"/>
        <v>0</v>
      </c>
      <c r="M24">
        <f t="shared" si="13"/>
        <v>7</v>
      </c>
      <c r="N24">
        <f t="shared" si="14"/>
        <v>8</v>
      </c>
      <c r="O24">
        <f t="shared" si="15"/>
        <v>7</v>
      </c>
      <c r="P24">
        <f t="shared" si="16"/>
        <v>8</v>
      </c>
      <c r="Q24">
        <f t="shared" si="17"/>
        <v>20</v>
      </c>
      <c r="R24">
        <f t="shared" si="18"/>
        <v>0</v>
      </c>
      <c r="S24">
        <f t="shared" si="19"/>
        <v>0</v>
      </c>
      <c r="T24">
        <f t="shared" si="20"/>
        <v>25</v>
      </c>
      <c r="U24">
        <f t="shared" si="21"/>
        <v>20</v>
      </c>
      <c r="V24">
        <f t="shared" si="22"/>
        <v>0</v>
      </c>
      <c r="W24">
        <f t="shared" si="23"/>
        <v>0</v>
      </c>
      <c r="X24">
        <f t="shared" si="24"/>
        <v>0</v>
      </c>
      <c r="Y24">
        <f t="shared" si="25"/>
        <v>0</v>
      </c>
      <c r="Z24">
        <f t="shared" si="26"/>
        <v>25</v>
      </c>
      <c r="AA24">
        <f t="shared" si="27"/>
        <v>20</v>
      </c>
      <c r="AB24">
        <f t="shared" si="28"/>
        <v>-11</v>
      </c>
      <c r="AC24">
        <f t="shared" si="29"/>
        <v>7</v>
      </c>
      <c r="AD24">
        <f t="shared" si="30"/>
        <v>8</v>
      </c>
      <c r="AE24">
        <f t="shared" si="31"/>
        <v>0</v>
      </c>
      <c r="AF24">
        <f t="shared" si="32"/>
        <v>76</v>
      </c>
      <c r="AG24">
        <f t="shared" si="33"/>
        <v>0</v>
      </c>
      <c r="AH24">
        <f t="shared" si="34"/>
        <v>0</v>
      </c>
      <c r="AI24">
        <f t="shared" si="35"/>
        <v>32</v>
      </c>
      <c r="AM24">
        <f t="shared" si="0"/>
        <v>11</v>
      </c>
      <c r="AN24">
        <f t="shared" si="1"/>
        <v>76</v>
      </c>
      <c r="AO24">
        <f t="shared" si="2"/>
        <v>91</v>
      </c>
      <c r="AP24">
        <f t="shared" si="3"/>
        <v>81</v>
      </c>
    </row>
    <row r="25" spans="1:42" x14ac:dyDescent="0.3">
      <c r="A25">
        <f t="shared" si="4"/>
        <v>23</v>
      </c>
      <c r="B25">
        <f t="shared" si="5"/>
        <v>20</v>
      </c>
      <c r="C25" s="2">
        <v>66</v>
      </c>
      <c r="D25" s="2">
        <v>88</v>
      </c>
      <c r="E25" s="2">
        <v>99</v>
      </c>
      <c r="F25">
        <f t="shared" si="6"/>
        <v>69</v>
      </c>
      <c r="G25">
        <f t="shared" si="7"/>
        <v>48</v>
      </c>
      <c r="H25">
        <f t="shared" si="8"/>
        <v>54</v>
      </c>
      <c r="I25">
        <f t="shared" si="9"/>
        <v>69</v>
      </c>
      <c r="J25">
        <f t="shared" si="10"/>
        <v>55</v>
      </c>
      <c r="K25">
        <f t="shared" si="11"/>
        <v>62</v>
      </c>
      <c r="L25">
        <f t="shared" si="12"/>
        <v>0</v>
      </c>
      <c r="M25">
        <f t="shared" si="13"/>
        <v>33</v>
      </c>
      <c r="N25">
        <f t="shared" si="14"/>
        <v>37</v>
      </c>
      <c r="O25">
        <f t="shared" si="15"/>
        <v>33</v>
      </c>
      <c r="P25">
        <f t="shared" si="16"/>
        <v>37</v>
      </c>
      <c r="Q25">
        <f t="shared" si="17"/>
        <v>20</v>
      </c>
      <c r="R25">
        <f t="shared" si="18"/>
        <v>0</v>
      </c>
      <c r="S25">
        <f t="shared" si="19"/>
        <v>7</v>
      </c>
      <c r="T25">
        <f t="shared" si="20"/>
        <v>8</v>
      </c>
      <c r="U25">
        <f t="shared" si="21"/>
        <v>20</v>
      </c>
      <c r="V25">
        <f t="shared" si="22"/>
        <v>0</v>
      </c>
      <c r="W25">
        <f t="shared" si="23"/>
        <v>0</v>
      </c>
      <c r="X25">
        <f t="shared" si="24"/>
        <v>0</v>
      </c>
      <c r="Y25">
        <f t="shared" si="25"/>
        <v>7</v>
      </c>
      <c r="Z25">
        <f t="shared" si="26"/>
        <v>8</v>
      </c>
      <c r="AA25">
        <f t="shared" si="27"/>
        <v>20</v>
      </c>
      <c r="AB25">
        <f t="shared" si="28"/>
        <v>-3</v>
      </c>
      <c r="AC25">
        <f t="shared" si="29"/>
        <v>33</v>
      </c>
      <c r="AD25">
        <f t="shared" si="30"/>
        <v>37</v>
      </c>
      <c r="AE25">
        <f t="shared" si="31"/>
        <v>0</v>
      </c>
      <c r="AF25">
        <f t="shared" si="32"/>
        <v>69</v>
      </c>
      <c r="AG25">
        <f t="shared" si="33"/>
        <v>0</v>
      </c>
      <c r="AH25">
        <f t="shared" si="34"/>
        <v>0</v>
      </c>
      <c r="AI25">
        <f t="shared" si="35"/>
        <v>43</v>
      </c>
      <c r="AM25">
        <f t="shared" si="0"/>
        <v>12</v>
      </c>
      <c r="AN25">
        <f t="shared" si="1"/>
        <v>76</v>
      </c>
      <c r="AO25">
        <f t="shared" si="2"/>
        <v>91</v>
      </c>
      <c r="AP25">
        <f t="shared" si="3"/>
        <v>81</v>
      </c>
    </row>
    <row r="26" spans="1:42" x14ac:dyDescent="0.3">
      <c r="A26">
        <f t="shared" si="4"/>
        <v>24</v>
      </c>
      <c r="B26">
        <f t="shared" si="5"/>
        <v>20</v>
      </c>
      <c r="C26" s="2">
        <v>48</v>
      </c>
      <c r="D26" s="2">
        <v>57</v>
      </c>
      <c r="E26" s="2">
        <v>75</v>
      </c>
      <c r="F26">
        <f t="shared" si="6"/>
        <v>36</v>
      </c>
      <c r="G26">
        <f t="shared" si="7"/>
        <v>18</v>
      </c>
      <c r="H26">
        <f t="shared" si="8"/>
        <v>42</v>
      </c>
      <c r="I26">
        <f t="shared" si="9"/>
        <v>36</v>
      </c>
      <c r="J26">
        <f t="shared" si="10"/>
        <v>51</v>
      </c>
      <c r="K26">
        <f t="shared" si="11"/>
        <v>79</v>
      </c>
      <c r="L26">
        <f t="shared" si="12"/>
        <v>12</v>
      </c>
      <c r="M26">
        <f t="shared" si="13"/>
        <v>6</v>
      </c>
      <c r="N26">
        <f t="shared" si="14"/>
        <v>0</v>
      </c>
      <c r="O26">
        <f t="shared" si="15"/>
        <v>6</v>
      </c>
      <c r="P26">
        <f t="shared" si="16"/>
        <v>0</v>
      </c>
      <c r="Q26">
        <f t="shared" si="17"/>
        <v>20</v>
      </c>
      <c r="R26">
        <f t="shared" si="18"/>
        <v>12</v>
      </c>
      <c r="S26">
        <f t="shared" si="19"/>
        <v>33</v>
      </c>
      <c r="T26">
        <f t="shared" si="20"/>
        <v>37</v>
      </c>
      <c r="U26">
        <f t="shared" si="21"/>
        <v>20</v>
      </c>
      <c r="V26">
        <f t="shared" si="22"/>
        <v>0</v>
      </c>
      <c r="W26">
        <f t="shared" si="23"/>
        <v>0</v>
      </c>
      <c r="X26">
        <f t="shared" si="24"/>
        <v>0</v>
      </c>
      <c r="Y26">
        <f t="shared" si="25"/>
        <v>33</v>
      </c>
      <c r="Z26">
        <f t="shared" si="26"/>
        <v>37</v>
      </c>
      <c r="AA26">
        <f t="shared" si="27"/>
        <v>20</v>
      </c>
      <c r="AB26">
        <f t="shared" si="28"/>
        <v>12</v>
      </c>
      <c r="AC26">
        <f t="shared" si="29"/>
        <v>6</v>
      </c>
      <c r="AD26">
        <f t="shared" si="30"/>
        <v>-4</v>
      </c>
      <c r="AE26">
        <f t="shared" si="31"/>
        <v>0</v>
      </c>
      <c r="AF26">
        <f t="shared" si="32"/>
        <v>42</v>
      </c>
      <c r="AG26">
        <f t="shared" si="33"/>
        <v>0</v>
      </c>
      <c r="AH26">
        <f t="shared" si="34"/>
        <v>0</v>
      </c>
      <c r="AI26">
        <f t="shared" si="35"/>
        <v>73</v>
      </c>
      <c r="AM26">
        <f t="shared" si="0"/>
        <v>12</v>
      </c>
      <c r="AN26">
        <f t="shared" si="1"/>
        <v>89</v>
      </c>
      <c r="AO26">
        <f t="shared" si="2"/>
        <v>71</v>
      </c>
      <c r="AP26">
        <f t="shared" si="3"/>
        <v>106.99999999999999</v>
      </c>
    </row>
    <row r="27" spans="1:42" x14ac:dyDescent="0.3">
      <c r="A27">
        <f t="shared" si="4"/>
        <v>25</v>
      </c>
      <c r="B27">
        <f t="shared" si="5"/>
        <v>20</v>
      </c>
      <c r="C27" s="2">
        <v>72</v>
      </c>
      <c r="D27" s="2">
        <v>86</v>
      </c>
      <c r="E27" s="2">
        <v>87</v>
      </c>
      <c r="F27">
        <f t="shared" si="6"/>
        <v>42</v>
      </c>
      <c r="G27">
        <f t="shared" si="7"/>
        <v>51</v>
      </c>
      <c r="H27">
        <f t="shared" si="8"/>
        <v>59</v>
      </c>
      <c r="I27">
        <f t="shared" si="9"/>
        <v>42</v>
      </c>
      <c r="J27">
        <f t="shared" si="10"/>
        <v>57</v>
      </c>
      <c r="K27">
        <f t="shared" si="11"/>
        <v>59</v>
      </c>
      <c r="L27">
        <f t="shared" si="12"/>
        <v>30</v>
      </c>
      <c r="M27">
        <f t="shared" si="13"/>
        <v>29</v>
      </c>
      <c r="N27">
        <f t="shared" si="14"/>
        <v>28</v>
      </c>
      <c r="O27">
        <f t="shared" si="15"/>
        <v>29</v>
      </c>
      <c r="P27">
        <f t="shared" si="16"/>
        <v>28</v>
      </c>
      <c r="Q27">
        <f t="shared" si="17"/>
        <v>20</v>
      </c>
      <c r="R27">
        <f t="shared" si="18"/>
        <v>30</v>
      </c>
      <c r="S27">
        <f t="shared" si="19"/>
        <v>6</v>
      </c>
      <c r="T27">
        <f t="shared" si="20"/>
        <v>0</v>
      </c>
      <c r="U27">
        <f t="shared" si="21"/>
        <v>20</v>
      </c>
      <c r="V27">
        <f t="shared" si="22"/>
        <v>0</v>
      </c>
      <c r="W27">
        <f t="shared" si="23"/>
        <v>0</v>
      </c>
      <c r="X27">
        <f t="shared" si="24"/>
        <v>0</v>
      </c>
      <c r="Y27">
        <f t="shared" si="25"/>
        <v>6</v>
      </c>
      <c r="Z27">
        <f t="shared" si="26"/>
        <v>0</v>
      </c>
      <c r="AA27">
        <f t="shared" si="27"/>
        <v>20</v>
      </c>
      <c r="AB27">
        <f t="shared" si="28"/>
        <v>30</v>
      </c>
      <c r="AC27">
        <f t="shared" si="29"/>
        <v>29</v>
      </c>
      <c r="AD27">
        <f t="shared" si="30"/>
        <v>28</v>
      </c>
      <c r="AE27">
        <f t="shared" si="31"/>
        <v>0</v>
      </c>
      <c r="AF27">
        <f t="shared" si="32"/>
        <v>59</v>
      </c>
      <c r="AG27">
        <f t="shared" si="33"/>
        <v>0</v>
      </c>
      <c r="AH27">
        <f t="shared" si="34"/>
        <v>0</v>
      </c>
      <c r="AI27">
        <f t="shared" si="35"/>
        <v>65</v>
      </c>
      <c r="AM27">
        <f t="shared" si="0"/>
        <v>13</v>
      </c>
      <c r="AN27">
        <f t="shared" si="1"/>
        <v>89</v>
      </c>
      <c r="AO27">
        <f t="shared" si="2"/>
        <v>71</v>
      </c>
      <c r="AP27">
        <f t="shared" si="3"/>
        <v>106.99999999999999</v>
      </c>
    </row>
    <row r="28" spans="1:42" x14ac:dyDescent="0.3">
      <c r="A28">
        <f t="shared" si="4"/>
        <v>26</v>
      </c>
      <c r="B28">
        <f t="shared" si="5"/>
        <v>20</v>
      </c>
      <c r="C28" s="2">
        <v>71</v>
      </c>
      <c r="D28" s="2">
        <v>84</v>
      </c>
      <c r="E28" s="2">
        <v>79</v>
      </c>
      <c r="F28">
        <f t="shared" si="6"/>
        <v>43</v>
      </c>
      <c r="G28">
        <f t="shared" si="7"/>
        <v>29</v>
      </c>
      <c r="H28">
        <f t="shared" si="8"/>
        <v>39</v>
      </c>
      <c r="I28">
        <f t="shared" si="9"/>
        <v>43</v>
      </c>
      <c r="J28">
        <f t="shared" si="10"/>
        <v>58</v>
      </c>
      <c r="K28">
        <f t="shared" si="11"/>
        <v>67</v>
      </c>
      <c r="L28">
        <f t="shared" si="12"/>
        <v>28</v>
      </c>
      <c r="M28">
        <f t="shared" si="13"/>
        <v>26</v>
      </c>
      <c r="N28">
        <f t="shared" si="14"/>
        <v>12</v>
      </c>
      <c r="O28">
        <f t="shared" si="15"/>
        <v>26</v>
      </c>
      <c r="P28">
        <f t="shared" si="16"/>
        <v>12</v>
      </c>
      <c r="Q28">
        <f t="shared" si="17"/>
        <v>20</v>
      </c>
      <c r="R28">
        <f t="shared" si="18"/>
        <v>28</v>
      </c>
      <c r="S28">
        <f t="shared" si="19"/>
        <v>29</v>
      </c>
      <c r="T28">
        <f t="shared" si="20"/>
        <v>28</v>
      </c>
      <c r="U28">
        <f t="shared" si="21"/>
        <v>20</v>
      </c>
      <c r="V28">
        <f t="shared" si="22"/>
        <v>0</v>
      </c>
      <c r="W28">
        <f t="shared" si="23"/>
        <v>0</v>
      </c>
      <c r="X28">
        <f t="shared" si="24"/>
        <v>0</v>
      </c>
      <c r="Y28">
        <f t="shared" si="25"/>
        <v>29</v>
      </c>
      <c r="Z28">
        <f t="shared" si="26"/>
        <v>28</v>
      </c>
      <c r="AA28">
        <f t="shared" si="27"/>
        <v>20</v>
      </c>
      <c r="AB28">
        <f t="shared" si="28"/>
        <v>28</v>
      </c>
      <c r="AC28">
        <f t="shared" si="29"/>
        <v>26</v>
      </c>
      <c r="AD28">
        <f t="shared" si="30"/>
        <v>12</v>
      </c>
      <c r="AE28">
        <f t="shared" si="31"/>
        <v>0</v>
      </c>
      <c r="AF28">
        <f t="shared" si="32"/>
        <v>43</v>
      </c>
      <c r="AG28">
        <f t="shared" si="33"/>
        <v>0</v>
      </c>
      <c r="AH28">
        <f t="shared" si="34"/>
        <v>0</v>
      </c>
      <c r="AI28">
        <f t="shared" si="35"/>
        <v>11</v>
      </c>
      <c r="AM28">
        <f t="shared" si="0"/>
        <v>13</v>
      </c>
      <c r="AN28">
        <f t="shared" si="1"/>
        <v>76</v>
      </c>
      <c r="AO28">
        <f t="shared" si="2"/>
        <v>88</v>
      </c>
      <c r="AP28">
        <f t="shared" si="3"/>
        <v>83</v>
      </c>
    </row>
    <row r="29" spans="1:42" x14ac:dyDescent="0.3">
      <c r="A29">
        <f t="shared" si="4"/>
        <v>27</v>
      </c>
      <c r="B29">
        <f t="shared" si="5"/>
        <v>20</v>
      </c>
      <c r="C29" s="2">
        <v>74</v>
      </c>
      <c r="D29" s="2">
        <v>75</v>
      </c>
      <c r="E29" s="2">
        <v>75</v>
      </c>
      <c r="F29">
        <f t="shared" si="6"/>
        <v>45</v>
      </c>
      <c r="G29">
        <f t="shared" si="7"/>
        <v>46</v>
      </c>
      <c r="H29">
        <f t="shared" si="8"/>
        <v>47</v>
      </c>
      <c r="I29">
        <f t="shared" si="9"/>
        <v>45</v>
      </c>
      <c r="J29">
        <f t="shared" si="10"/>
        <v>72</v>
      </c>
      <c r="K29">
        <f t="shared" si="11"/>
        <v>59</v>
      </c>
      <c r="L29">
        <f t="shared" si="12"/>
        <v>29</v>
      </c>
      <c r="M29">
        <f t="shared" si="13"/>
        <v>3</v>
      </c>
      <c r="N29">
        <f t="shared" si="14"/>
        <v>16</v>
      </c>
      <c r="O29">
        <f t="shared" si="15"/>
        <v>3</v>
      </c>
      <c r="P29">
        <f t="shared" si="16"/>
        <v>16</v>
      </c>
      <c r="Q29">
        <f t="shared" si="17"/>
        <v>20</v>
      </c>
      <c r="R29">
        <f t="shared" si="18"/>
        <v>29</v>
      </c>
      <c r="S29">
        <f t="shared" si="19"/>
        <v>26</v>
      </c>
      <c r="T29">
        <f t="shared" si="20"/>
        <v>12</v>
      </c>
      <c r="U29">
        <f t="shared" si="21"/>
        <v>20</v>
      </c>
      <c r="V29">
        <f t="shared" si="22"/>
        <v>0</v>
      </c>
      <c r="W29">
        <f t="shared" si="23"/>
        <v>0</v>
      </c>
      <c r="X29">
        <f t="shared" si="24"/>
        <v>0</v>
      </c>
      <c r="Y29">
        <f t="shared" si="25"/>
        <v>26</v>
      </c>
      <c r="Z29">
        <f t="shared" si="26"/>
        <v>12</v>
      </c>
      <c r="AA29">
        <f t="shared" si="27"/>
        <v>20</v>
      </c>
      <c r="AB29">
        <f t="shared" si="28"/>
        <v>29</v>
      </c>
      <c r="AC29">
        <f t="shared" si="29"/>
        <v>3</v>
      </c>
      <c r="AD29">
        <f t="shared" si="30"/>
        <v>16</v>
      </c>
      <c r="AE29">
        <f t="shared" si="31"/>
        <v>0</v>
      </c>
      <c r="AF29">
        <f t="shared" si="32"/>
        <v>47</v>
      </c>
      <c r="AG29">
        <f t="shared" si="33"/>
        <v>0</v>
      </c>
      <c r="AH29">
        <f t="shared" si="34"/>
        <v>0</v>
      </c>
      <c r="AI29">
        <f t="shared" si="35"/>
        <v>16</v>
      </c>
      <c r="AM29">
        <f t="shared" si="0"/>
        <v>14</v>
      </c>
      <c r="AN29">
        <f t="shared" si="1"/>
        <v>76</v>
      </c>
      <c r="AO29">
        <f t="shared" si="2"/>
        <v>88</v>
      </c>
      <c r="AP29">
        <f t="shared" si="3"/>
        <v>83</v>
      </c>
    </row>
    <row r="30" spans="1:42" x14ac:dyDescent="0.3">
      <c r="A30">
        <f t="shared" si="4"/>
        <v>28</v>
      </c>
      <c r="B30">
        <f t="shared" si="5"/>
        <v>20</v>
      </c>
      <c r="C30" s="2">
        <v>82</v>
      </c>
      <c r="D30" s="2">
        <v>42</v>
      </c>
      <c r="E30" s="2">
        <v>55</v>
      </c>
      <c r="F30">
        <f t="shared" si="6"/>
        <v>71</v>
      </c>
      <c r="G30">
        <f t="shared" si="7"/>
        <v>56</v>
      </c>
      <c r="H30">
        <f t="shared" si="8"/>
        <v>39</v>
      </c>
      <c r="I30">
        <f t="shared" si="9"/>
        <v>71</v>
      </c>
      <c r="J30">
        <f t="shared" si="10"/>
        <v>59</v>
      </c>
      <c r="K30">
        <f t="shared" si="11"/>
        <v>55</v>
      </c>
      <c r="L30">
        <f t="shared" si="12"/>
        <v>11</v>
      </c>
      <c r="M30">
        <f t="shared" si="13"/>
        <v>0</v>
      </c>
      <c r="N30">
        <f t="shared" si="14"/>
        <v>0</v>
      </c>
      <c r="O30">
        <f t="shared" si="15"/>
        <v>0</v>
      </c>
      <c r="P30">
        <f t="shared" si="16"/>
        <v>0</v>
      </c>
      <c r="Q30">
        <f t="shared" si="17"/>
        <v>20</v>
      </c>
      <c r="R30">
        <f t="shared" si="18"/>
        <v>11</v>
      </c>
      <c r="S30">
        <f t="shared" si="19"/>
        <v>3</v>
      </c>
      <c r="T30">
        <f t="shared" si="20"/>
        <v>16</v>
      </c>
      <c r="U30">
        <f t="shared" si="21"/>
        <v>20</v>
      </c>
      <c r="V30">
        <f t="shared" si="22"/>
        <v>0</v>
      </c>
      <c r="W30">
        <f t="shared" si="23"/>
        <v>0</v>
      </c>
      <c r="X30">
        <f t="shared" si="24"/>
        <v>0</v>
      </c>
      <c r="Y30">
        <f t="shared" si="25"/>
        <v>3</v>
      </c>
      <c r="Z30">
        <f t="shared" si="26"/>
        <v>16</v>
      </c>
      <c r="AA30">
        <f t="shared" si="27"/>
        <v>20</v>
      </c>
      <c r="AB30">
        <f t="shared" si="28"/>
        <v>11</v>
      </c>
      <c r="AC30">
        <f t="shared" si="29"/>
        <v>-17</v>
      </c>
      <c r="AD30">
        <f t="shared" si="30"/>
        <v>0</v>
      </c>
      <c r="AE30">
        <f t="shared" si="31"/>
        <v>0</v>
      </c>
      <c r="AF30">
        <f t="shared" si="32"/>
        <v>71</v>
      </c>
      <c r="AG30">
        <f t="shared" si="33"/>
        <v>0</v>
      </c>
      <c r="AH30">
        <f t="shared" si="34"/>
        <v>0</v>
      </c>
      <c r="AI30">
        <f t="shared" si="35"/>
        <v>61</v>
      </c>
      <c r="AM30">
        <f t="shared" si="0"/>
        <v>14</v>
      </c>
      <c r="AN30">
        <f t="shared" si="1"/>
        <v>73</v>
      </c>
      <c r="AO30">
        <f t="shared" si="2"/>
        <v>98</v>
      </c>
      <c r="AP30">
        <f t="shared" si="3"/>
        <v>101.00000000000001</v>
      </c>
    </row>
    <row r="31" spans="1:42" x14ac:dyDescent="0.3">
      <c r="A31">
        <f t="shared" si="4"/>
        <v>29</v>
      </c>
      <c r="B31">
        <f t="shared" si="5"/>
        <v>20</v>
      </c>
      <c r="C31" s="2">
        <v>75</v>
      </c>
      <c r="D31" s="2">
        <v>86</v>
      </c>
      <c r="E31" s="2">
        <v>94</v>
      </c>
      <c r="F31">
        <f t="shared" si="6"/>
        <v>82</v>
      </c>
      <c r="G31">
        <f t="shared" si="7"/>
        <v>59</v>
      </c>
      <c r="H31">
        <f t="shared" si="8"/>
        <v>35</v>
      </c>
      <c r="I31">
        <f t="shared" si="9"/>
        <v>82</v>
      </c>
      <c r="J31">
        <f t="shared" si="10"/>
        <v>59</v>
      </c>
      <c r="K31">
        <f t="shared" si="11"/>
        <v>35</v>
      </c>
      <c r="L31">
        <f t="shared" si="12"/>
        <v>0</v>
      </c>
      <c r="M31">
        <f t="shared" si="13"/>
        <v>27</v>
      </c>
      <c r="N31">
        <f t="shared" si="14"/>
        <v>59</v>
      </c>
      <c r="O31">
        <f t="shared" si="15"/>
        <v>27</v>
      </c>
      <c r="P31">
        <f t="shared" si="16"/>
        <v>59</v>
      </c>
      <c r="Q31">
        <f t="shared" si="17"/>
        <v>20</v>
      </c>
      <c r="R31">
        <f t="shared" si="18"/>
        <v>0</v>
      </c>
      <c r="S31">
        <f t="shared" si="19"/>
        <v>0</v>
      </c>
      <c r="T31">
        <f t="shared" si="20"/>
        <v>0</v>
      </c>
      <c r="U31">
        <f t="shared" si="21"/>
        <v>20</v>
      </c>
      <c r="V31">
        <f t="shared" si="22"/>
        <v>0</v>
      </c>
      <c r="W31">
        <f t="shared" si="23"/>
        <v>0</v>
      </c>
      <c r="X31">
        <f t="shared" si="24"/>
        <v>0</v>
      </c>
      <c r="Y31">
        <f t="shared" si="25"/>
        <v>0</v>
      </c>
      <c r="Z31">
        <f t="shared" si="26"/>
        <v>0</v>
      </c>
      <c r="AA31">
        <f t="shared" si="27"/>
        <v>20</v>
      </c>
      <c r="AB31">
        <f t="shared" si="28"/>
        <v>-7</v>
      </c>
      <c r="AC31">
        <f t="shared" si="29"/>
        <v>27</v>
      </c>
      <c r="AD31">
        <f t="shared" si="30"/>
        <v>59</v>
      </c>
      <c r="AE31">
        <f t="shared" si="31"/>
        <v>0</v>
      </c>
      <c r="AF31">
        <f t="shared" si="32"/>
        <v>82</v>
      </c>
      <c r="AG31">
        <f t="shared" si="33"/>
        <v>0</v>
      </c>
      <c r="AH31">
        <f t="shared" si="34"/>
        <v>0</v>
      </c>
      <c r="AI31">
        <f t="shared" si="35"/>
        <v>90</v>
      </c>
      <c r="AM31">
        <f t="shared" si="0"/>
        <v>15</v>
      </c>
      <c r="AN31">
        <f t="shared" si="1"/>
        <v>73</v>
      </c>
      <c r="AO31">
        <f t="shared" si="2"/>
        <v>98</v>
      </c>
      <c r="AP31">
        <f t="shared" si="3"/>
        <v>101.00000000000001</v>
      </c>
    </row>
    <row r="32" spans="1:42" x14ac:dyDescent="0.3">
      <c r="A32">
        <f t="shared" si="4"/>
        <v>30</v>
      </c>
      <c r="B32">
        <f t="shared" si="5"/>
        <v>20</v>
      </c>
      <c r="C32" s="2">
        <v>97</v>
      </c>
      <c r="D32" s="2">
        <v>86</v>
      </c>
      <c r="E32" s="2">
        <v>62</v>
      </c>
      <c r="F32">
        <f t="shared" si="6"/>
        <v>55</v>
      </c>
      <c r="G32">
        <f t="shared" si="7"/>
        <v>0</v>
      </c>
      <c r="H32">
        <f t="shared" si="8"/>
        <v>15</v>
      </c>
      <c r="I32">
        <f t="shared" si="9"/>
        <v>55</v>
      </c>
      <c r="J32">
        <f t="shared" si="10"/>
        <v>27</v>
      </c>
      <c r="K32">
        <f t="shared" si="11"/>
        <v>74</v>
      </c>
      <c r="L32">
        <f t="shared" si="12"/>
        <v>42</v>
      </c>
      <c r="M32">
        <f t="shared" si="13"/>
        <v>59</v>
      </c>
      <c r="N32">
        <f t="shared" si="14"/>
        <v>0</v>
      </c>
      <c r="O32">
        <f t="shared" si="15"/>
        <v>59</v>
      </c>
      <c r="P32">
        <f t="shared" si="16"/>
        <v>0</v>
      </c>
      <c r="Q32">
        <f t="shared" si="17"/>
        <v>20</v>
      </c>
      <c r="R32">
        <f t="shared" si="18"/>
        <v>42</v>
      </c>
      <c r="S32">
        <f t="shared" si="19"/>
        <v>27</v>
      </c>
      <c r="T32">
        <f t="shared" si="20"/>
        <v>59</v>
      </c>
      <c r="U32">
        <f t="shared" si="21"/>
        <v>20</v>
      </c>
      <c r="V32">
        <f t="shared" si="22"/>
        <v>0</v>
      </c>
      <c r="W32">
        <f t="shared" si="23"/>
        <v>0</v>
      </c>
      <c r="X32">
        <f t="shared" si="24"/>
        <v>0</v>
      </c>
      <c r="Y32">
        <f t="shared" si="25"/>
        <v>27</v>
      </c>
      <c r="Z32">
        <f t="shared" si="26"/>
        <v>59</v>
      </c>
      <c r="AA32">
        <f t="shared" si="27"/>
        <v>20</v>
      </c>
      <c r="AB32">
        <f t="shared" si="28"/>
        <v>42</v>
      </c>
      <c r="AC32">
        <f t="shared" si="29"/>
        <v>59</v>
      </c>
      <c r="AD32">
        <f t="shared" si="30"/>
        <v>-12</v>
      </c>
      <c r="AE32">
        <f t="shared" si="31"/>
        <v>0</v>
      </c>
      <c r="AF32">
        <f t="shared" si="32"/>
        <v>55</v>
      </c>
      <c r="AG32">
        <f t="shared" si="33"/>
        <v>0</v>
      </c>
      <c r="AH32">
        <f t="shared" si="34"/>
        <v>0</v>
      </c>
      <c r="AI32">
        <f t="shared" si="35"/>
        <v>54</v>
      </c>
      <c r="AM32">
        <f t="shared" si="0"/>
        <v>15</v>
      </c>
      <c r="AN32">
        <f t="shared" si="1"/>
        <v>87.000000000000014</v>
      </c>
      <c r="AO32">
        <f t="shared" si="2"/>
        <v>61</v>
      </c>
      <c r="AP32">
        <f t="shared" si="3"/>
        <v>74</v>
      </c>
    </row>
    <row r="33" spans="1:42" x14ac:dyDescent="0.3">
      <c r="A33">
        <f t="shared" si="4"/>
        <v>31</v>
      </c>
      <c r="B33">
        <f t="shared" si="5"/>
        <v>10</v>
      </c>
      <c r="C33" s="2">
        <v>65</v>
      </c>
      <c r="D33" s="2">
        <v>82</v>
      </c>
      <c r="E33" s="2">
        <v>75</v>
      </c>
      <c r="F33">
        <f t="shared" si="6"/>
        <v>42</v>
      </c>
      <c r="G33">
        <f t="shared" si="7"/>
        <v>27</v>
      </c>
      <c r="H33">
        <f t="shared" si="8"/>
        <v>59</v>
      </c>
      <c r="I33">
        <f t="shared" si="9"/>
        <v>42</v>
      </c>
      <c r="J33">
        <f t="shared" si="10"/>
        <v>82</v>
      </c>
      <c r="K33">
        <f t="shared" si="11"/>
        <v>59</v>
      </c>
      <c r="L33">
        <f t="shared" si="12"/>
        <v>23</v>
      </c>
      <c r="M33">
        <f t="shared" si="13"/>
        <v>0</v>
      </c>
      <c r="N33">
        <f t="shared" si="14"/>
        <v>16</v>
      </c>
      <c r="O33">
        <f t="shared" si="15"/>
        <v>4</v>
      </c>
      <c r="P33">
        <f t="shared" si="16"/>
        <v>16</v>
      </c>
      <c r="Q33">
        <f t="shared" si="17"/>
        <v>15</v>
      </c>
      <c r="R33">
        <f t="shared" si="18"/>
        <v>23</v>
      </c>
      <c r="S33">
        <f t="shared" si="19"/>
        <v>55</v>
      </c>
      <c r="T33">
        <f t="shared" si="20"/>
        <v>0</v>
      </c>
      <c r="U33">
        <f t="shared" si="21"/>
        <v>15</v>
      </c>
      <c r="V33">
        <f t="shared" si="22"/>
        <v>0</v>
      </c>
      <c r="W33">
        <f t="shared" si="23"/>
        <v>0</v>
      </c>
      <c r="X33">
        <f t="shared" si="24"/>
        <v>0</v>
      </c>
      <c r="Y33">
        <f t="shared" si="25"/>
        <v>55</v>
      </c>
      <c r="Z33">
        <f t="shared" si="26"/>
        <v>0</v>
      </c>
      <c r="AA33">
        <f t="shared" si="27"/>
        <v>15</v>
      </c>
      <c r="AB33">
        <f t="shared" si="28"/>
        <v>23</v>
      </c>
      <c r="AC33">
        <f t="shared" si="29"/>
        <v>0</v>
      </c>
      <c r="AD33">
        <f t="shared" si="30"/>
        <v>16</v>
      </c>
      <c r="AE33">
        <f t="shared" si="31"/>
        <v>25</v>
      </c>
      <c r="AF33">
        <f t="shared" si="32"/>
        <v>59</v>
      </c>
      <c r="AG33">
        <f t="shared" si="33"/>
        <v>0</v>
      </c>
      <c r="AH33">
        <f t="shared" si="34"/>
        <v>25</v>
      </c>
      <c r="AI33">
        <f t="shared" si="35"/>
        <v>49</v>
      </c>
      <c r="AM33">
        <f t="shared" si="0"/>
        <v>16</v>
      </c>
      <c r="AN33">
        <f t="shared" si="1"/>
        <v>87.000000000000014</v>
      </c>
      <c r="AO33">
        <f t="shared" si="2"/>
        <v>61</v>
      </c>
      <c r="AP33">
        <f t="shared" si="3"/>
        <v>74</v>
      </c>
    </row>
    <row r="34" spans="1:42" x14ac:dyDescent="0.3">
      <c r="A34">
        <f t="shared" si="4"/>
        <v>32</v>
      </c>
      <c r="B34">
        <f t="shared" si="5"/>
        <v>10</v>
      </c>
      <c r="C34" s="2">
        <v>98</v>
      </c>
      <c r="D34" s="2">
        <v>82</v>
      </c>
      <c r="E34" s="2">
        <v>76</v>
      </c>
      <c r="F34">
        <f t="shared" si="6"/>
        <v>61</v>
      </c>
      <c r="G34">
        <f t="shared" si="7"/>
        <v>66</v>
      </c>
      <c r="H34">
        <f t="shared" si="8"/>
        <v>44</v>
      </c>
      <c r="I34">
        <f t="shared" si="9"/>
        <v>61</v>
      </c>
      <c r="J34">
        <f t="shared" si="10"/>
        <v>70</v>
      </c>
      <c r="K34">
        <f t="shared" si="11"/>
        <v>60</v>
      </c>
      <c r="L34">
        <f t="shared" si="12"/>
        <v>37</v>
      </c>
      <c r="M34">
        <f t="shared" si="13"/>
        <v>12</v>
      </c>
      <c r="N34">
        <f t="shared" si="14"/>
        <v>16</v>
      </c>
      <c r="O34">
        <f t="shared" si="15"/>
        <v>12</v>
      </c>
      <c r="P34">
        <f t="shared" si="16"/>
        <v>16</v>
      </c>
      <c r="Q34">
        <f t="shared" si="17"/>
        <v>10</v>
      </c>
      <c r="R34">
        <f t="shared" si="18"/>
        <v>37</v>
      </c>
      <c r="S34">
        <f t="shared" si="19"/>
        <v>4</v>
      </c>
      <c r="T34">
        <f t="shared" si="20"/>
        <v>16</v>
      </c>
      <c r="U34">
        <f t="shared" si="21"/>
        <v>15</v>
      </c>
      <c r="V34">
        <f t="shared" si="22"/>
        <v>0</v>
      </c>
      <c r="W34">
        <f t="shared" si="23"/>
        <v>0</v>
      </c>
      <c r="X34">
        <f t="shared" si="24"/>
        <v>0</v>
      </c>
      <c r="Y34">
        <f t="shared" si="25"/>
        <v>4</v>
      </c>
      <c r="Z34">
        <f t="shared" si="26"/>
        <v>16</v>
      </c>
      <c r="AA34">
        <f t="shared" si="27"/>
        <v>15</v>
      </c>
      <c r="AB34">
        <f t="shared" si="28"/>
        <v>37</v>
      </c>
      <c r="AC34">
        <f t="shared" si="29"/>
        <v>12</v>
      </c>
      <c r="AD34">
        <f t="shared" si="30"/>
        <v>16</v>
      </c>
      <c r="AE34">
        <f t="shared" si="31"/>
        <v>25</v>
      </c>
      <c r="AF34">
        <f t="shared" si="32"/>
        <v>66</v>
      </c>
      <c r="AG34">
        <f t="shared" si="33"/>
        <v>0</v>
      </c>
      <c r="AH34">
        <f t="shared" si="34"/>
        <v>25</v>
      </c>
      <c r="AI34">
        <f t="shared" si="35"/>
        <v>34</v>
      </c>
      <c r="AM34">
        <f t="shared" si="0"/>
        <v>16</v>
      </c>
      <c r="AN34">
        <f t="shared" si="1"/>
        <v>85</v>
      </c>
      <c r="AO34">
        <f t="shared" si="2"/>
        <v>75</v>
      </c>
      <c r="AP34">
        <f t="shared" si="3"/>
        <v>82</v>
      </c>
    </row>
    <row r="35" spans="1:42" x14ac:dyDescent="0.3">
      <c r="A35">
        <f t="shared" si="4"/>
        <v>33</v>
      </c>
      <c r="B35">
        <f t="shared" si="5"/>
        <v>10</v>
      </c>
      <c r="C35" s="2">
        <v>76</v>
      </c>
      <c r="D35" s="2">
        <v>80</v>
      </c>
      <c r="E35" s="2">
        <v>70</v>
      </c>
      <c r="F35">
        <f t="shared" si="6"/>
        <v>86</v>
      </c>
      <c r="G35">
        <f t="shared" si="7"/>
        <v>54</v>
      </c>
      <c r="H35">
        <f t="shared" si="8"/>
        <v>50</v>
      </c>
      <c r="I35">
        <f t="shared" si="9"/>
        <v>86</v>
      </c>
      <c r="J35">
        <f t="shared" si="10"/>
        <v>66</v>
      </c>
      <c r="K35">
        <f t="shared" si="11"/>
        <v>66</v>
      </c>
      <c r="L35">
        <f t="shared" si="12"/>
        <v>0</v>
      </c>
      <c r="M35">
        <f t="shared" si="13"/>
        <v>14</v>
      </c>
      <c r="N35">
        <f t="shared" si="14"/>
        <v>4</v>
      </c>
      <c r="O35">
        <f t="shared" si="15"/>
        <v>14</v>
      </c>
      <c r="P35">
        <f t="shared" si="16"/>
        <v>4</v>
      </c>
      <c r="Q35">
        <f t="shared" si="17"/>
        <v>10</v>
      </c>
      <c r="R35">
        <f t="shared" si="18"/>
        <v>0</v>
      </c>
      <c r="S35">
        <f t="shared" si="19"/>
        <v>12</v>
      </c>
      <c r="T35">
        <f t="shared" si="20"/>
        <v>16</v>
      </c>
      <c r="U35">
        <f t="shared" si="21"/>
        <v>10</v>
      </c>
      <c r="V35">
        <f t="shared" si="22"/>
        <v>0</v>
      </c>
      <c r="W35">
        <f t="shared" si="23"/>
        <v>0</v>
      </c>
      <c r="X35">
        <f t="shared" si="24"/>
        <v>0</v>
      </c>
      <c r="Y35">
        <f t="shared" si="25"/>
        <v>12</v>
      </c>
      <c r="Z35">
        <f t="shared" si="26"/>
        <v>16</v>
      </c>
      <c r="AA35">
        <f t="shared" si="27"/>
        <v>10</v>
      </c>
      <c r="AB35">
        <f t="shared" si="28"/>
        <v>-10</v>
      </c>
      <c r="AC35">
        <f t="shared" si="29"/>
        <v>14</v>
      </c>
      <c r="AD35">
        <f t="shared" si="30"/>
        <v>4</v>
      </c>
      <c r="AE35">
        <f t="shared" si="31"/>
        <v>0</v>
      </c>
      <c r="AF35">
        <f t="shared" si="32"/>
        <v>86</v>
      </c>
      <c r="AG35">
        <f t="shared" si="33"/>
        <v>0</v>
      </c>
      <c r="AH35">
        <f t="shared" si="34"/>
        <v>0</v>
      </c>
      <c r="AI35">
        <f t="shared" si="35"/>
        <v>30</v>
      </c>
      <c r="AM35">
        <f t="shared" si="0"/>
        <v>17</v>
      </c>
      <c r="AN35">
        <f t="shared" si="1"/>
        <v>85</v>
      </c>
      <c r="AO35">
        <f t="shared" si="2"/>
        <v>75</v>
      </c>
      <c r="AP35">
        <f t="shared" si="3"/>
        <v>82</v>
      </c>
    </row>
    <row r="36" spans="1:42" x14ac:dyDescent="0.3">
      <c r="A36">
        <f t="shared" si="4"/>
        <v>34</v>
      </c>
      <c r="B36">
        <f t="shared" si="5"/>
        <v>10</v>
      </c>
      <c r="C36" s="2">
        <v>104.00000000000001</v>
      </c>
      <c r="D36" s="2">
        <v>98</v>
      </c>
      <c r="E36" s="2">
        <v>69</v>
      </c>
      <c r="F36">
        <f t="shared" si="6"/>
        <v>72</v>
      </c>
      <c r="G36">
        <f t="shared" si="7"/>
        <v>62</v>
      </c>
      <c r="H36">
        <f t="shared" si="8"/>
        <v>56</v>
      </c>
      <c r="I36">
        <f t="shared" si="9"/>
        <v>72</v>
      </c>
      <c r="J36">
        <f t="shared" si="10"/>
        <v>76</v>
      </c>
      <c r="K36">
        <f t="shared" si="11"/>
        <v>60</v>
      </c>
      <c r="L36">
        <f t="shared" si="12"/>
        <v>32.000000000000014</v>
      </c>
      <c r="M36">
        <f t="shared" si="13"/>
        <v>22</v>
      </c>
      <c r="N36">
        <f t="shared" si="14"/>
        <v>9</v>
      </c>
      <c r="O36">
        <f t="shared" si="15"/>
        <v>22</v>
      </c>
      <c r="P36">
        <f t="shared" si="16"/>
        <v>9</v>
      </c>
      <c r="Q36">
        <f t="shared" si="17"/>
        <v>10</v>
      </c>
      <c r="R36">
        <f t="shared" si="18"/>
        <v>32.000000000000014</v>
      </c>
      <c r="S36">
        <f t="shared" si="19"/>
        <v>14</v>
      </c>
      <c r="T36">
        <f t="shared" si="20"/>
        <v>4</v>
      </c>
      <c r="U36">
        <f t="shared" si="21"/>
        <v>10</v>
      </c>
      <c r="V36">
        <f t="shared" si="22"/>
        <v>0</v>
      </c>
      <c r="W36">
        <f t="shared" si="23"/>
        <v>0</v>
      </c>
      <c r="X36">
        <f t="shared" si="24"/>
        <v>0</v>
      </c>
      <c r="Y36">
        <f t="shared" si="25"/>
        <v>14</v>
      </c>
      <c r="Z36">
        <f t="shared" si="26"/>
        <v>4</v>
      </c>
      <c r="AA36">
        <f t="shared" si="27"/>
        <v>10</v>
      </c>
      <c r="AB36">
        <f t="shared" si="28"/>
        <v>32.000000000000014</v>
      </c>
      <c r="AC36">
        <f t="shared" si="29"/>
        <v>22</v>
      </c>
      <c r="AD36">
        <f t="shared" si="30"/>
        <v>9</v>
      </c>
      <c r="AE36">
        <f t="shared" si="31"/>
        <v>0</v>
      </c>
      <c r="AF36">
        <f t="shared" si="32"/>
        <v>72</v>
      </c>
      <c r="AG36">
        <f t="shared" si="33"/>
        <v>0</v>
      </c>
      <c r="AH36">
        <f t="shared" si="34"/>
        <v>0</v>
      </c>
      <c r="AI36">
        <f t="shared" si="35"/>
        <v>47.000000000000014</v>
      </c>
      <c r="AM36">
        <f t="shared" si="0"/>
        <v>17</v>
      </c>
      <c r="AN36">
        <f t="shared" si="1"/>
        <v>87</v>
      </c>
      <c r="AO36">
        <f t="shared" si="2"/>
        <v>95</v>
      </c>
      <c r="AP36">
        <f t="shared" si="3"/>
        <v>95</v>
      </c>
    </row>
    <row r="37" spans="1:42" x14ac:dyDescent="0.3">
      <c r="A37">
        <f t="shared" si="4"/>
        <v>35</v>
      </c>
      <c r="B37">
        <f t="shared" si="5"/>
        <v>10</v>
      </c>
      <c r="C37" s="2">
        <v>82</v>
      </c>
      <c r="D37" s="2">
        <v>94</v>
      </c>
      <c r="E37" s="2">
        <v>77.999999999999986</v>
      </c>
      <c r="F37">
        <f t="shared" si="6"/>
        <v>82.000000000000014</v>
      </c>
      <c r="G37">
        <f t="shared" si="7"/>
        <v>67</v>
      </c>
      <c r="H37">
        <f t="shared" si="8"/>
        <v>50</v>
      </c>
      <c r="I37">
        <f t="shared" si="9"/>
        <v>82.000000000000014</v>
      </c>
      <c r="J37">
        <f t="shared" si="10"/>
        <v>89</v>
      </c>
      <c r="K37">
        <f t="shared" si="11"/>
        <v>59</v>
      </c>
      <c r="L37">
        <f t="shared" si="12"/>
        <v>0</v>
      </c>
      <c r="M37">
        <f t="shared" si="13"/>
        <v>5</v>
      </c>
      <c r="N37">
        <f t="shared" si="14"/>
        <v>18.999999999999986</v>
      </c>
      <c r="O37">
        <f t="shared" si="15"/>
        <v>5</v>
      </c>
      <c r="P37">
        <f t="shared" si="16"/>
        <v>18.999999999999986</v>
      </c>
      <c r="Q37">
        <f t="shared" si="17"/>
        <v>10</v>
      </c>
      <c r="R37">
        <f t="shared" si="18"/>
        <v>0</v>
      </c>
      <c r="S37">
        <f t="shared" si="19"/>
        <v>22</v>
      </c>
      <c r="T37">
        <f t="shared" si="20"/>
        <v>9</v>
      </c>
      <c r="U37">
        <f t="shared" si="21"/>
        <v>10</v>
      </c>
      <c r="V37">
        <f t="shared" si="22"/>
        <v>0</v>
      </c>
      <c r="W37">
        <f t="shared" si="23"/>
        <v>0</v>
      </c>
      <c r="X37">
        <f t="shared" si="24"/>
        <v>0</v>
      </c>
      <c r="Y37">
        <f t="shared" si="25"/>
        <v>22</v>
      </c>
      <c r="Z37">
        <f t="shared" si="26"/>
        <v>9</v>
      </c>
      <c r="AA37">
        <f t="shared" si="27"/>
        <v>10</v>
      </c>
      <c r="AB37">
        <f t="shared" si="28"/>
        <v>0</v>
      </c>
      <c r="AC37">
        <f t="shared" si="29"/>
        <v>5</v>
      </c>
      <c r="AD37">
        <f t="shared" si="30"/>
        <v>18.999999999999986</v>
      </c>
      <c r="AE37">
        <f t="shared" si="31"/>
        <v>0</v>
      </c>
      <c r="AF37">
        <f t="shared" si="32"/>
        <v>82.000000000000014</v>
      </c>
      <c r="AG37">
        <f t="shared" si="33"/>
        <v>0</v>
      </c>
      <c r="AH37">
        <f t="shared" si="34"/>
        <v>0</v>
      </c>
      <c r="AI37">
        <f t="shared" si="35"/>
        <v>35</v>
      </c>
      <c r="AM37">
        <f t="shared" si="0"/>
        <v>18</v>
      </c>
      <c r="AN37">
        <f t="shared" si="1"/>
        <v>87</v>
      </c>
      <c r="AO37">
        <f t="shared" si="2"/>
        <v>95</v>
      </c>
      <c r="AP37">
        <f t="shared" si="3"/>
        <v>95</v>
      </c>
    </row>
    <row r="38" spans="1:42" x14ac:dyDescent="0.3">
      <c r="A38">
        <f t="shared" si="4"/>
        <v>36</v>
      </c>
      <c r="B38">
        <f t="shared" si="5"/>
        <v>10</v>
      </c>
      <c r="C38" s="2">
        <v>73</v>
      </c>
      <c r="D38" s="2">
        <v>76</v>
      </c>
      <c r="E38" s="2">
        <v>71</v>
      </c>
      <c r="F38">
        <f t="shared" si="6"/>
        <v>77.000000000000014</v>
      </c>
      <c r="G38">
        <f t="shared" si="7"/>
        <v>70.000000000000014</v>
      </c>
      <c r="H38">
        <f t="shared" si="8"/>
        <v>49</v>
      </c>
      <c r="I38">
        <f t="shared" si="9"/>
        <v>77.000000000000014</v>
      </c>
      <c r="J38">
        <f t="shared" si="10"/>
        <v>75.000000000000014</v>
      </c>
      <c r="K38">
        <f t="shared" si="11"/>
        <v>67.999999999999986</v>
      </c>
      <c r="L38">
        <f t="shared" si="12"/>
        <v>0</v>
      </c>
      <c r="M38">
        <f t="shared" si="13"/>
        <v>0.99999999999998579</v>
      </c>
      <c r="N38">
        <f t="shared" si="14"/>
        <v>3.0000000000000142</v>
      </c>
      <c r="O38">
        <f t="shared" si="15"/>
        <v>0.99999999999998579</v>
      </c>
      <c r="P38">
        <f t="shared" si="16"/>
        <v>3.0000000000000142</v>
      </c>
      <c r="Q38">
        <f t="shared" si="17"/>
        <v>10</v>
      </c>
      <c r="R38">
        <f t="shared" si="18"/>
        <v>0</v>
      </c>
      <c r="S38">
        <f t="shared" si="19"/>
        <v>5</v>
      </c>
      <c r="T38">
        <f t="shared" si="20"/>
        <v>18.999999999999986</v>
      </c>
      <c r="U38">
        <f t="shared" si="21"/>
        <v>10</v>
      </c>
      <c r="V38">
        <f t="shared" si="22"/>
        <v>0</v>
      </c>
      <c r="W38">
        <f t="shared" si="23"/>
        <v>0</v>
      </c>
      <c r="X38">
        <f t="shared" si="24"/>
        <v>0</v>
      </c>
      <c r="Y38">
        <f t="shared" si="25"/>
        <v>5</v>
      </c>
      <c r="Z38">
        <f t="shared" si="26"/>
        <v>18.999999999999986</v>
      </c>
      <c r="AA38">
        <f t="shared" si="27"/>
        <v>10</v>
      </c>
      <c r="AB38">
        <f t="shared" si="28"/>
        <v>-4.0000000000000142</v>
      </c>
      <c r="AC38">
        <f t="shared" si="29"/>
        <v>0.99999999999998579</v>
      </c>
      <c r="AD38">
        <f t="shared" si="30"/>
        <v>3.0000000000000142</v>
      </c>
      <c r="AE38">
        <f t="shared" si="31"/>
        <v>0</v>
      </c>
      <c r="AF38">
        <f t="shared" si="32"/>
        <v>77.000000000000014</v>
      </c>
      <c r="AG38">
        <f t="shared" si="33"/>
        <v>0</v>
      </c>
      <c r="AH38">
        <f t="shared" si="34"/>
        <v>0</v>
      </c>
      <c r="AI38">
        <f t="shared" si="35"/>
        <v>33.999999999999986</v>
      </c>
      <c r="AM38">
        <f t="shared" si="0"/>
        <v>18</v>
      </c>
      <c r="AN38">
        <f t="shared" si="1"/>
        <v>81</v>
      </c>
      <c r="AO38">
        <f t="shared" si="2"/>
        <v>87</v>
      </c>
      <c r="AP38">
        <f t="shared" si="3"/>
        <v>88</v>
      </c>
    </row>
    <row r="39" spans="1:42" x14ac:dyDescent="0.3">
      <c r="A39">
        <f t="shared" si="4"/>
        <v>37</v>
      </c>
      <c r="B39">
        <f t="shared" si="5"/>
        <v>10</v>
      </c>
      <c r="C39" s="2">
        <v>83</v>
      </c>
      <c r="D39" s="2">
        <v>73</v>
      </c>
      <c r="E39" s="2">
        <v>60</v>
      </c>
      <c r="F39">
        <f t="shared" si="6"/>
        <v>76.000000000000028</v>
      </c>
      <c r="G39">
        <f t="shared" si="7"/>
        <v>72</v>
      </c>
      <c r="H39">
        <f t="shared" si="8"/>
        <v>57.999999999999986</v>
      </c>
      <c r="I39">
        <f t="shared" si="9"/>
        <v>76.000000000000028</v>
      </c>
      <c r="J39">
        <f t="shared" si="10"/>
        <v>72.999999999999986</v>
      </c>
      <c r="K39">
        <f t="shared" si="11"/>
        <v>61</v>
      </c>
      <c r="L39">
        <f t="shared" si="12"/>
        <v>6.9999999999999716</v>
      </c>
      <c r="M39">
        <f t="shared" si="13"/>
        <v>1.4210854715202004E-14</v>
      </c>
      <c r="N39">
        <f t="shared" si="14"/>
        <v>0</v>
      </c>
      <c r="O39">
        <f t="shared" si="15"/>
        <v>1.4210854715202004E-14</v>
      </c>
      <c r="P39">
        <f t="shared" si="16"/>
        <v>0</v>
      </c>
      <c r="Q39">
        <f t="shared" si="17"/>
        <v>10</v>
      </c>
      <c r="R39">
        <f t="shared" si="18"/>
        <v>6.9999999999999716</v>
      </c>
      <c r="S39">
        <f t="shared" si="19"/>
        <v>0.99999999999998579</v>
      </c>
      <c r="T39">
        <f t="shared" si="20"/>
        <v>3.0000000000000142</v>
      </c>
      <c r="U39">
        <f t="shared" si="21"/>
        <v>10</v>
      </c>
      <c r="V39">
        <f t="shared" si="22"/>
        <v>0</v>
      </c>
      <c r="W39">
        <f t="shared" si="23"/>
        <v>0</v>
      </c>
      <c r="X39">
        <f t="shared" si="24"/>
        <v>0</v>
      </c>
      <c r="Y39">
        <f t="shared" si="25"/>
        <v>0.99999999999998579</v>
      </c>
      <c r="Z39">
        <f t="shared" si="26"/>
        <v>3.0000000000000142</v>
      </c>
      <c r="AA39">
        <f t="shared" si="27"/>
        <v>10</v>
      </c>
      <c r="AB39">
        <f t="shared" si="28"/>
        <v>6.9999999999999716</v>
      </c>
      <c r="AC39">
        <f t="shared" si="29"/>
        <v>1.4210854715202004E-14</v>
      </c>
      <c r="AD39">
        <f t="shared" si="30"/>
        <v>-1</v>
      </c>
      <c r="AE39">
        <f t="shared" si="31"/>
        <v>0</v>
      </c>
      <c r="AF39">
        <f t="shared" si="32"/>
        <v>76.000000000000028</v>
      </c>
      <c r="AG39">
        <f t="shared" si="33"/>
        <v>0</v>
      </c>
      <c r="AH39">
        <f t="shared" si="34"/>
        <v>0</v>
      </c>
      <c r="AI39">
        <f t="shared" si="35"/>
        <v>24</v>
      </c>
      <c r="AM39">
        <f t="shared" si="0"/>
        <v>19</v>
      </c>
      <c r="AN39">
        <f t="shared" si="1"/>
        <v>81</v>
      </c>
      <c r="AO39">
        <f t="shared" si="2"/>
        <v>87</v>
      </c>
      <c r="AP39">
        <f t="shared" si="3"/>
        <v>88</v>
      </c>
    </row>
    <row r="40" spans="1:42" x14ac:dyDescent="0.3">
      <c r="A40">
        <f t="shared" si="4"/>
        <v>38</v>
      </c>
      <c r="B40">
        <f t="shared" si="5"/>
        <v>10</v>
      </c>
      <c r="C40" s="2">
        <v>80</v>
      </c>
      <c r="D40" s="2">
        <v>85</v>
      </c>
      <c r="E40" s="2">
        <v>82</v>
      </c>
      <c r="F40">
        <f t="shared" si="6"/>
        <v>82.999999999999986</v>
      </c>
      <c r="G40">
        <f t="shared" si="7"/>
        <v>72.999999999999986</v>
      </c>
      <c r="H40">
        <f t="shared" si="8"/>
        <v>51</v>
      </c>
      <c r="I40">
        <f t="shared" si="9"/>
        <v>82.999999999999986</v>
      </c>
      <c r="J40">
        <f t="shared" si="10"/>
        <v>73</v>
      </c>
      <c r="K40">
        <f t="shared" si="11"/>
        <v>51</v>
      </c>
      <c r="L40">
        <f t="shared" si="12"/>
        <v>0</v>
      </c>
      <c r="M40">
        <f t="shared" si="13"/>
        <v>12</v>
      </c>
      <c r="N40">
        <f t="shared" si="14"/>
        <v>31</v>
      </c>
      <c r="O40">
        <f t="shared" si="15"/>
        <v>12</v>
      </c>
      <c r="P40">
        <f t="shared" si="16"/>
        <v>31</v>
      </c>
      <c r="Q40">
        <f t="shared" si="17"/>
        <v>10</v>
      </c>
      <c r="R40">
        <f t="shared" si="18"/>
        <v>0</v>
      </c>
      <c r="S40">
        <f t="shared" si="19"/>
        <v>1.4210854715202004E-14</v>
      </c>
      <c r="T40">
        <f t="shared" si="20"/>
        <v>0</v>
      </c>
      <c r="U40">
        <f t="shared" si="21"/>
        <v>10</v>
      </c>
      <c r="V40">
        <f t="shared" si="22"/>
        <v>0</v>
      </c>
      <c r="W40">
        <f t="shared" si="23"/>
        <v>0</v>
      </c>
      <c r="X40">
        <f t="shared" si="24"/>
        <v>0</v>
      </c>
      <c r="Y40">
        <f t="shared" si="25"/>
        <v>1.4210854715202004E-14</v>
      </c>
      <c r="Z40">
        <f t="shared" si="26"/>
        <v>0</v>
      </c>
      <c r="AA40">
        <f t="shared" si="27"/>
        <v>10</v>
      </c>
      <c r="AB40">
        <f t="shared" si="28"/>
        <v>-2.9999999999999858</v>
      </c>
      <c r="AC40">
        <f t="shared" si="29"/>
        <v>12</v>
      </c>
      <c r="AD40">
        <f t="shared" si="30"/>
        <v>31</v>
      </c>
      <c r="AE40">
        <f t="shared" si="31"/>
        <v>0</v>
      </c>
      <c r="AF40">
        <f t="shared" si="32"/>
        <v>82.999999999999986</v>
      </c>
      <c r="AG40">
        <f t="shared" si="33"/>
        <v>0</v>
      </c>
      <c r="AH40">
        <f t="shared" si="34"/>
        <v>0</v>
      </c>
      <c r="AI40">
        <f t="shared" si="35"/>
        <v>37</v>
      </c>
      <c r="AM40">
        <f t="shared" si="0"/>
        <v>19</v>
      </c>
      <c r="AN40">
        <f t="shared" si="1"/>
        <v>62</v>
      </c>
      <c r="AO40">
        <f t="shared" si="2"/>
        <v>85</v>
      </c>
      <c r="AP40">
        <f t="shared" si="3"/>
        <v>103</v>
      </c>
    </row>
    <row r="41" spans="1:42" x14ac:dyDescent="0.3">
      <c r="A41">
        <f t="shared" si="4"/>
        <v>39</v>
      </c>
      <c r="B41">
        <f t="shared" si="5"/>
        <v>10</v>
      </c>
      <c r="C41" s="2">
        <v>70</v>
      </c>
      <c r="D41" s="2">
        <v>94</v>
      </c>
      <c r="E41" s="2">
        <v>66</v>
      </c>
      <c r="F41">
        <f t="shared" si="6"/>
        <v>70.999999999999986</v>
      </c>
      <c r="G41">
        <f t="shared" si="7"/>
        <v>42</v>
      </c>
      <c r="H41">
        <f t="shared" si="8"/>
        <v>41</v>
      </c>
      <c r="I41">
        <f t="shared" si="9"/>
        <v>70.999999999999986</v>
      </c>
      <c r="J41">
        <f t="shared" si="10"/>
        <v>54</v>
      </c>
      <c r="K41">
        <f t="shared" si="11"/>
        <v>72</v>
      </c>
      <c r="L41">
        <f t="shared" si="12"/>
        <v>0</v>
      </c>
      <c r="M41">
        <f t="shared" si="13"/>
        <v>40</v>
      </c>
      <c r="N41">
        <f t="shared" si="14"/>
        <v>0</v>
      </c>
      <c r="O41">
        <f t="shared" si="15"/>
        <v>40</v>
      </c>
      <c r="P41">
        <f t="shared" si="16"/>
        <v>0</v>
      </c>
      <c r="Q41">
        <f t="shared" si="17"/>
        <v>10</v>
      </c>
      <c r="R41">
        <f t="shared" si="18"/>
        <v>0</v>
      </c>
      <c r="S41">
        <f t="shared" si="19"/>
        <v>12</v>
      </c>
      <c r="T41">
        <f t="shared" si="20"/>
        <v>31</v>
      </c>
      <c r="U41">
        <f t="shared" si="21"/>
        <v>10</v>
      </c>
      <c r="V41">
        <f t="shared" si="22"/>
        <v>0</v>
      </c>
      <c r="W41">
        <f t="shared" si="23"/>
        <v>0</v>
      </c>
      <c r="X41">
        <f t="shared" si="24"/>
        <v>0</v>
      </c>
      <c r="Y41">
        <f t="shared" si="25"/>
        <v>12</v>
      </c>
      <c r="Z41">
        <f t="shared" si="26"/>
        <v>31</v>
      </c>
      <c r="AA41">
        <f t="shared" si="27"/>
        <v>10</v>
      </c>
      <c r="AB41">
        <f t="shared" si="28"/>
        <v>-0.99999999999998579</v>
      </c>
      <c r="AC41">
        <f t="shared" si="29"/>
        <v>40</v>
      </c>
      <c r="AD41">
        <f t="shared" si="30"/>
        <v>-6</v>
      </c>
      <c r="AE41">
        <f t="shared" si="31"/>
        <v>0</v>
      </c>
      <c r="AF41">
        <f t="shared" si="32"/>
        <v>70.999999999999986</v>
      </c>
      <c r="AG41">
        <f t="shared" si="33"/>
        <v>0</v>
      </c>
      <c r="AH41">
        <f t="shared" si="34"/>
        <v>0</v>
      </c>
      <c r="AI41">
        <f t="shared" si="35"/>
        <v>35</v>
      </c>
      <c r="AM41">
        <f t="shared" si="0"/>
        <v>20</v>
      </c>
      <c r="AN41">
        <f t="shared" si="1"/>
        <v>62</v>
      </c>
      <c r="AO41">
        <f t="shared" si="2"/>
        <v>85</v>
      </c>
      <c r="AP41">
        <f t="shared" si="3"/>
        <v>103</v>
      </c>
    </row>
    <row r="42" spans="1:42" x14ac:dyDescent="0.3">
      <c r="A42">
        <f t="shared" si="4"/>
        <v>40</v>
      </c>
      <c r="B42">
        <f t="shared" si="5"/>
        <v>10</v>
      </c>
      <c r="C42" s="2">
        <v>81</v>
      </c>
      <c r="D42" s="2">
        <v>75.000000000000014</v>
      </c>
      <c r="E42" s="2">
        <v>75.000000000000014</v>
      </c>
      <c r="F42">
        <f t="shared" si="6"/>
        <v>30.999999999999986</v>
      </c>
      <c r="G42">
        <f t="shared" si="7"/>
        <v>54</v>
      </c>
      <c r="H42">
        <f t="shared" si="8"/>
        <v>62</v>
      </c>
      <c r="I42">
        <f t="shared" si="9"/>
        <v>30.999999999999986</v>
      </c>
      <c r="J42">
        <f t="shared" si="10"/>
        <v>94</v>
      </c>
      <c r="K42">
        <f t="shared" si="11"/>
        <v>62</v>
      </c>
      <c r="L42">
        <f t="shared" si="12"/>
        <v>50.000000000000014</v>
      </c>
      <c r="M42">
        <f t="shared" si="13"/>
        <v>0</v>
      </c>
      <c r="N42">
        <f t="shared" si="14"/>
        <v>13.000000000000014</v>
      </c>
      <c r="O42">
        <f t="shared" si="15"/>
        <v>0</v>
      </c>
      <c r="P42">
        <f t="shared" si="16"/>
        <v>13.000000000000014</v>
      </c>
      <c r="Q42">
        <f t="shared" si="17"/>
        <v>10</v>
      </c>
      <c r="R42">
        <f t="shared" si="18"/>
        <v>50.000000000000014</v>
      </c>
      <c r="S42">
        <f t="shared" si="19"/>
        <v>40</v>
      </c>
      <c r="T42">
        <f t="shared" si="20"/>
        <v>0</v>
      </c>
      <c r="U42">
        <f t="shared" si="21"/>
        <v>10</v>
      </c>
      <c r="V42">
        <f t="shared" si="22"/>
        <v>0</v>
      </c>
      <c r="W42">
        <f t="shared" si="23"/>
        <v>0</v>
      </c>
      <c r="X42">
        <f t="shared" si="24"/>
        <v>0</v>
      </c>
      <c r="Y42">
        <f t="shared" si="25"/>
        <v>40</v>
      </c>
      <c r="Z42">
        <f t="shared" si="26"/>
        <v>0</v>
      </c>
      <c r="AA42">
        <f t="shared" si="27"/>
        <v>10</v>
      </c>
      <c r="AB42">
        <f t="shared" si="28"/>
        <v>50.000000000000014</v>
      </c>
      <c r="AC42">
        <f t="shared" si="29"/>
        <v>-18.999999999999986</v>
      </c>
      <c r="AD42">
        <f t="shared" si="30"/>
        <v>13.000000000000014</v>
      </c>
      <c r="AE42">
        <f t="shared" si="31"/>
        <v>0</v>
      </c>
      <c r="AF42">
        <f t="shared" si="32"/>
        <v>62</v>
      </c>
      <c r="AG42">
        <f t="shared" si="33"/>
        <v>0</v>
      </c>
      <c r="AH42">
        <f t="shared" si="34"/>
        <v>0</v>
      </c>
      <c r="AI42">
        <f t="shared" si="35"/>
        <v>39</v>
      </c>
      <c r="AM42">
        <f t="shared" si="0"/>
        <v>20</v>
      </c>
      <c r="AN42">
        <f t="shared" si="1"/>
        <v>97.000000000000014</v>
      </c>
      <c r="AO42">
        <f t="shared" si="2"/>
        <v>87</v>
      </c>
      <c r="AP42">
        <f t="shared" si="3"/>
        <v>89</v>
      </c>
    </row>
    <row r="43" spans="1:42" x14ac:dyDescent="0.3">
      <c r="A43">
        <f t="shared" si="4"/>
        <v>41</v>
      </c>
      <c r="B43">
        <f t="shared" si="5"/>
        <v>10</v>
      </c>
      <c r="C43" s="2">
        <v>84</v>
      </c>
      <c r="D43" s="2">
        <v>99.000000000000014</v>
      </c>
      <c r="E43" s="2">
        <v>90</v>
      </c>
      <c r="F43">
        <f t="shared" si="6"/>
        <v>81</v>
      </c>
      <c r="G43">
        <f t="shared" si="7"/>
        <v>80.999999999999986</v>
      </c>
      <c r="H43">
        <f t="shared" si="8"/>
        <v>52</v>
      </c>
      <c r="I43">
        <f t="shared" si="9"/>
        <v>81</v>
      </c>
      <c r="J43">
        <f t="shared" si="10"/>
        <v>80.999999999999986</v>
      </c>
      <c r="K43">
        <f t="shared" si="11"/>
        <v>65.000000000000014</v>
      </c>
      <c r="L43">
        <f t="shared" si="12"/>
        <v>3</v>
      </c>
      <c r="M43">
        <f t="shared" si="13"/>
        <v>18.000000000000028</v>
      </c>
      <c r="N43">
        <f t="shared" si="14"/>
        <v>24.999999999999986</v>
      </c>
      <c r="O43">
        <f t="shared" si="15"/>
        <v>18.000000000000028</v>
      </c>
      <c r="P43">
        <f t="shared" si="16"/>
        <v>24.999999999999986</v>
      </c>
      <c r="Q43">
        <f t="shared" si="17"/>
        <v>10</v>
      </c>
      <c r="R43">
        <f t="shared" si="18"/>
        <v>3</v>
      </c>
      <c r="S43">
        <f t="shared" si="19"/>
        <v>0</v>
      </c>
      <c r="T43">
        <f t="shared" si="20"/>
        <v>13.000000000000014</v>
      </c>
      <c r="U43">
        <f t="shared" si="21"/>
        <v>10</v>
      </c>
      <c r="V43">
        <f t="shared" si="22"/>
        <v>0</v>
      </c>
      <c r="W43">
        <f t="shared" si="23"/>
        <v>0</v>
      </c>
      <c r="X43">
        <f t="shared" si="24"/>
        <v>0</v>
      </c>
      <c r="Y43">
        <f t="shared" si="25"/>
        <v>0</v>
      </c>
      <c r="Z43">
        <f t="shared" si="26"/>
        <v>13.000000000000014</v>
      </c>
      <c r="AA43">
        <f t="shared" si="27"/>
        <v>10</v>
      </c>
      <c r="AB43">
        <f t="shared" si="28"/>
        <v>3</v>
      </c>
      <c r="AC43">
        <f t="shared" si="29"/>
        <v>18.000000000000028</v>
      </c>
      <c r="AD43">
        <f t="shared" si="30"/>
        <v>24.999999999999986</v>
      </c>
      <c r="AE43">
        <f t="shared" si="31"/>
        <v>0</v>
      </c>
      <c r="AF43">
        <f t="shared" si="32"/>
        <v>81</v>
      </c>
      <c r="AG43">
        <f t="shared" si="33"/>
        <v>0</v>
      </c>
      <c r="AH43">
        <f t="shared" si="34"/>
        <v>0</v>
      </c>
      <c r="AI43">
        <f t="shared" si="35"/>
        <v>41.999999999999986</v>
      </c>
      <c r="AM43">
        <f t="shared" si="0"/>
        <v>21</v>
      </c>
      <c r="AN43">
        <f t="shared" si="1"/>
        <v>97.000000000000014</v>
      </c>
      <c r="AO43">
        <f t="shared" si="2"/>
        <v>87</v>
      </c>
      <c r="AP43">
        <f t="shared" si="3"/>
        <v>89</v>
      </c>
    </row>
    <row r="44" spans="1:42" x14ac:dyDescent="0.3">
      <c r="A44">
        <f t="shared" si="4"/>
        <v>42</v>
      </c>
      <c r="B44">
        <f t="shared" si="5"/>
        <v>10</v>
      </c>
      <c r="C44" s="2">
        <v>82</v>
      </c>
      <c r="D44" s="2">
        <v>89</v>
      </c>
      <c r="E44" s="2">
        <v>82</v>
      </c>
      <c r="F44">
        <f t="shared" si="6"/>
        <v>65.999999999999972</v>
      </c>
      <c r="G44">
        <f t="shared" si="7"/>
        <v>56</v>
      </c>
      <c r="H44">
        <f t="shared" si="8"/>
        <v>55.000000000000014</v>
      </c>
      <c r="I44">
        <f t="shared" si="9"/>
        <v>65.999999999999972</v>
      </c>
      <c r="J44">
        <f t="shared" si="10"/>
        <v>74.000000000000028</v>
      </c>
      <c r="K44">
        <f t="shared" si="11"/>
        <v>80</v>
      </c>
      <c r="L44">
        <f t="shared" si="12"/>
        <v>16.000000000000028</v>
      </c>
      <c r="M44">
        <f t="shared" si="13"/>
        <v>14.999999999999972</v>
      </c>
      <c r="N44">
        <f t="shared" si="14"/>
        <v>2</v>
      </c>
      <c r="O44">
        <f t="shared" si="15"/>
        <v>14.999999999999972</v>
      </c>
      <c r="P44">
        <f t="shared" si="16"/>
        <v>2</v>
      </c>
      <c r="Q44">
        <f t="shared" si="17"/>
        <v>10</v>
      </c>
      <c r="R44">
        <f t="shared" si="18"/>
        <v>16.000000000000028</v>
      </c>
      <c r="S44">
        <f t="shared" si="19"/>
        <v>18.000000000000028</v>
      </c>
      <c r="T44">
        <f t="shared" si="20"/>
        <v>24.999999999999986</v>
      </c>
      <c r="U44">
        <f t="shared" si="21"/>
        <v>10</v>
      </c>
      <c r="V44">
        <f t="shared" si="22"/>
        <v>0</v>
      </c>
      <c r="W44">
        <f t="shared" si="23"/>
        <v>0</v>
      </c>
      <c r="X44">
        <f t="shared" si="24"/>
        <v>0</v>
      </c>
      <c r="Y44">
        <f t="shared" si="25"/>
        <v>18.000000000000028</v>
      </c>
      <c r="Z44">
        <f t="shared" si="26"/>
        <v>24.999999999999986</v>
      </c>
      <c r="AA44">
        <f t="shared" si="27"/>
        <v>10</v>
      </c>
      <c r="AB44">
        <f t="shared" si="28"/>
        <v>16.000000000000028</v>
      </c>
      <c r="AC44">
        <f t="shared" si="29"/>
        <v>14.999999999999972</v>
      </c>
      <c r="AD44">
        <f t="shared" si="30"/>
        <v>2</v>
      </c>
      <c r="AE44">
        <f t="shared" si="31"/>
        <v>0</v>
      </c>
      <c r="AF44">
        <f t="shared" si="32"/>
        <v>65.999999999999972</v>
      </c>
      <c r="AG44">
        <f t="shared" si="33"/>
        <v>0</v>
      </c>
      <c r="AH44">
        <f t="shared" si="34"/>
        <v>0</v>
      </c>
      <c r="AI44">
        <f t="shared" si="35"/>
        <v>20.000000000000014</v>
      </c>
      <c r="AM44">
        <f t="shared" si="0"/>
        <v>21</v>
      </c>
      <c r="AN44">
        <f t="shared" si="1"/>
        <v>76</v>
      </c>
      <c r="AO44">
        <f t="shared" si="2"/>
        <v>72</v>
      </c>
      <c r="AP44">
        <f t="shared" si="3"/>
        <v>94</v>
      </c>
    </row>
    <row r="45" spans="1:42" x14ac:dyDescent="0.3">
      <c r="A45">
        <f t="shared" si="4"/>
        <v>43</v>
      </c>
      <c r="B45">
        <f t="shared" si="5"/>
        <v>10</v>
      </c>
      <c r="C45" s="2">
        <v>89</v>
      </c>
      <c r="D45" s="2">
        <v>92</v>
      </c>
      <c r="E45" s="2">
        <v>90</v>
      </c>
      <c r="F45">
        <f t="shared" si="6"/>
        <v>67.000000000000028</v>
      </c>
      <c r="G45">
        <f t="shared" si="7"/>
        <v>72.000000000000028</v>
      </c>
      <c r="H45">
        <f t="shared" si="8"/>
        <v>70</v>
      </c>
      <c r="I45">
        <f t="shared" si="9"/>
        <v>67.000000000000028</v>
      </c>
      <c r="J45">
        <f t="shared" si="10"/>
        <v>87</v>
      </c>
      <c r="K45">
        <f t="shared" si="11"/>
        <v>72</v>
      </c>
      <c r="L45">
        <f t="shared" si="12"/>
        <v>21.999999999999972</v>
      </c>
      <c r="M45">
        <f t="shared" si="13"/>
        <v>5</v>
      </c>
      <c r="N45">
        <f t="shared" si="14"/>
        <v>18</v>
      </c>
      <c r="O45">
        <f t="shared" si="15"/>
        <v>5</v>
      </c>
      <c r="P45">
        <f t="shared" si="16"/>
        <v>18</v>
      </c>
      <c r="Q45">
        <f t="shared" si="17"/>
        <v>10</v>
      </c>
      <c r="R45">
        <f t="shared" si="18"/>
        <v>21.999999999999972</v>
      </c>
      <c r="S45">
        <f t="shared" si="19"/>
        <v>14.999999999999972</v>
      </c>
      <c r="T45">
        <f t="shared" si="20"/>
        <v>2</v>
      </c>
      <c r="U45">
        <f t="shared" si="21"/>
        <v>10</v>
      </c>
      <c r="V45">
        <f t="shared" si="22"/>
        <v>0</v>
      </c>
      <c r="W45">
        <f t="shared" si="23"/>
        <v>0</v>
      </c>
      <c r="X45">
        <f t="shared" si="24"/>
        <v>0</v>
      </c>
      <c r="Y45">
        <f t="shared" si="25"/>
        <v>14.999999999999972</v>
      </c>
      <c r="Z45">
        <f t="shared" si="26"/>
        <v>2</v>
      </c>
      <c r="AA45">
        <f t="shared" si="27"/>
        <v>10</v>
      </c>
      <c r="AB45">
        <f t="shared" si="28"/>
        <v>21.999999999999972</v>
      </c>
      <c r="AC45">
        <f t="shared" si="29"/>
        <v>5</v>
      </c>
      <c r="AD45">
        <f t="shared" si="30"/>
        <v>18</v>
      </c>
      <c r="AE45">
        <f t="shared" si="31"/>
        <v>0</v>
      </c>
      <c r="AF45">
        <f t="shared" si="32"/>
        <v>72.000000000000028</v>
      </c>
      <c r="AG45">
        <f t="shared" si="33"/>
        <v>0</v>
      </c>
      <c r="AH45">
        <f t="shared" si="34"/>
        <v>0</v>
      </c>
      <c r="AI45">
        <f t="shared" si="35"/>
        <v>18</v>
      </c>
      <c r="AM45">
        <f t="shared" si="0"/>
        <v>22</v>
      </c>
      <c r="AN45">
        <f t="shared" si="1"/>
        <v>76</v>
      </c>
      <c r="AO45">
        <f t="shared" si="2"/>
        <v>72</v>
      </c>
      <c r="AP45">
        <f t="shared" si="3"/>
        <v>94</v>
      </c>
    </row>
    <row r="46" spans="1:42" x14ac:dyDescent="0.3">
      <c r="A46">
        <f t="shared" si="4"/>
        <v>44</v>
      </c>
      <c r="B46">
        <f t="shared" si="5"/>
        <v>10</v>
      </c>
      <c r="C46" s="2">
        <v>95</v>
      </c>
      <c r="D46" s="2">
        <v>73</v>
      </c>
      <c r="E46" s="2">
        <v>93</v>
      </c>
      <c r="F46">
        <f t="shared" si="6"/>
        <v>84</v>
      </c>
      <c r="G46">
        <f t="shared" si="7"/>
        <v>69</v>
      </c>
      <c r="H46">
        <f t="shared" si="8"/>
        <v>62</v>
      </c>
      <c r="I46">
        <f t="shared" si="9"/>
        <v>84</v>
      </c>
      <c r="J46">
        <f t="shared" si="10"/>
        <v>74</v>
      </c>
      <c r="K46">
        <f t="shared" si="11"/>
        <v>80</v>
      </c>
      <c r="L46">
        <f t="shared" si="12"/>
        <v>11</v>
      </c>
      <c r="M46">
        <f t="shared" si="13"/>
        <v>0</v>
      </c>
      <c r="N46">
        <f t="shared" si="14"/>
        <v>13</v>
      </c>
      <c r="O46">
        <f t="shared" si="15"/>
        <v>0</v>
      </c>
      <c r="P46">
        <f t="shared" si="16"/>
        <v>13</v>
      </c>
      <c r="Q46">
        <f t="shared" si="17"/>
        <v>10</v>
      </c>
      <c r="R46">
        <f t="shared" si="18"/>
        <v>11</v>
      </c>
      <c r="S46">
        <f t="shared" si="19"/>
        <v>5</v>
      </c>
      <c r="T46">
        <f t="shared" si="20"/>
        <v>18</v>
      </c>
      <c r="U46">
        <f t="shared" si="21"/>
        <v>10</v>
      </c>
      <c r="V46">
        <f t="shared" si="22"/>
        <v>0</v>
      </c>
      <c r="W46">
        <f t="shared" si="23"/>
        <v>0</v>
      </c>
      <c r="X46">
        <f t="shared" si="24"/>
        <v>0</v>
      </c>
      <c r="Y46">
        <f t="shared" si="25"/>
        <v>5</v>
      </c>
      <c r="Z46">
        <f t="shared" si="26"/>
        <v>18</v>
      </c>
      <c r="AA46">
        <f t="shared" si="27"/>
        <v>10</v>
      </c>
      <c r="AB46">
        <f t="shared" si="28"/>
        <v>11</v>
      </c>
      <c r="AC46">
        <f t="shared" si="29"/>
        <v>-1</v>
      </c>
      <c r="AD46">
        <f t="shared" si="30"/>
        <v>13</v>
      </c>
      <c r="AE46">
        <f t="shared" si="31"/>
        <v>0</v>
      </c>
      <c r="AF46">
        <f t="shared" si="32"/>
        <v>84</v>
      </c>
      <c r="AG46">
        <f t="shared" si="33"/>
        <v>0</v>
      </c>
      <c r="AH46">
        <f t="shared" si="34"/>
        <v>0</v>
      </c>
      <c r="AI46">
        <f t="shared" si="35"/>
        <v>28</v>
      </c>
      <c r="AM46">
        <f t="shared" si="0"/>
        <v>22</v>
      </c>
      <c r="AN46">
        <f t="shared" si="1"/>
        <v>65</v>
      </c>
      <c r="AO46">
        <f t="shared" si="2"/>
        <v>63</v>
      </c>
      <c r="AP46">
        <f t="shared" si="3"/>
        <v>82</v>
      </c>
    </row>
    <row r="47" spans="1:42" x14ac:dyDescent="0.3">
      <c r="A47">
        <f t="shared" si="4"/>
        <v>45</v>
      </c>
      <c r="B47">
        <f t="shared" si="5"/>
        <v>10</v>
      </c>
      <c r="C47" s="2">
        <v>60</v>
      </c>
      <c r="D47" s="2">
        <v>102</v>
      </c>
      <c r="E47" s="2">
        <v>88</v>
      </c>
      <c r="F47">
        <f t="shared" si="6"/>
        <v>95</v>
      </c>
      <c r="G47">
        <f t="shared" si="7"/>
        <v>61</v>
      </c>
      <c r="H47">
        <f t="shared" si="8"/>
        <v>70</v>
      </c>
      <c r="I47">
        <f t="shared" si="9"/>
        <v>95</v>
      </c>
      <c r="J47">
        <f t="shared" si="10"/>
        <v>61</v>
      </c>
      <c r="K47">
        <f t="shared" si="11"/>
        <v>83</v>
      </c>
      <c r="L47">
        <f t="shared" si="12"/>
        <v>0</v>
      </c>
      <c r="M47">
        <f t="shared" si="13"/>
        <v>41</v>
      </c>
      <c r="N47">
        <f t="shared" si="14"/>
        <v>5</v>
      </c>
      <c r="O47">
        <f t="shared" si="15"/>
        <v>41</v>
      </c>
      <c r="P47">
        <f t="shared" si="16"/>
        <v>5</v>
      </c>
      <c r="Q47">
        <f t="shared" si="17"/>
        <v>10</v>
      </c>
      <c r="R47">
        <f t="shared" si="18"/>
        <v>0</v>
      </c>
      <c r="S47">
        <f t="shared" si="19"/>
        <v>0</v>
      </c>
      <c r="T47">
        <f t="shared" si="20"/>
        <v>13</v>
      </c>
      <c r="U47">
        <f t="shared" si="21"/>
        <v>10</v>
      </c>
      <c r="V47">
        <f t="shared" si="22"/>
        <v>0</v>
      </c>
      <c r="W47">
        <f t="shared" si="23"/>
        <v>0</v>
      </c>
      <c r="X47">
        <f t="shared" si="24"/>
        <v>0</v>
      </c>
      <c r="Y47">
        <f t="shared" si="25"/>
        <v>0</v>
      </c>
      <c r="Z47">
        <f t="shared" si="26"/>
        <v>13</v>
      </c>
      <c r="AA47">
        <f t="shared" si="27"/>
        <v>10</v>
      </c>
      <c r="AB47">
        <f t="shared" si="28"/>
        <v>-35</v>
      </c>
      <c r="AC47">
        <f t="shared" si="29"/>
        <v>41</v>
      </c>
      <c r="AD47">
        <f t="shared" si="30"/>
        <v>5</v>
      </c>
      <c r="AE47">
        <f t="shared" si="31"/>
        <v>0</v>
      </c>
      <c r="AF47">
        <f t="shared" si="32"/>
        <v>95</v>
      </c>
      <c r="AG47">
        <f t="shared" si="33"/>
        <v>0</v>
      </c>
      <c r="AH47">
        <f t="shared" si="34"/>
        <v>0</v>
      </c>
      <c r="AI47">
        <f t="shared" si="35"/>
        <v>69</v>
      </c>
      <c r="AM47">
        <f t="shared" si="0"/>
        <v>23</v>
      </c>
      <c r="AN47">
        <f t="shared" si="1"/>
        <v>65</v>
      </c>
      <c r="AO47">
        <f t="shared" si="2"/>
        <v>63</v>
      </c>
      <c r="AP47">
        <f t="shared" si="3"/>
        <v>82</v>
      </c>
    </row>
    <row r="48" spans="1:42" x14ac:dyDescent="0.3">
      <c r="A48">
        <f t="shared" si="4"/>
        <v>46</v>
      </c>
      <c r="B48">
        <f t="shared" si="5"/>
        <v>10</v>
      </c>
      <c r="C48" s="2">
        <v>72</v>
      </c>
      <c r="D48" s="2">
        <v>88</v>
      </c>
      <c r="E48" s="2">
        <v>100</v>
      </c>
      <c r="F48">
        <f t="shared" si="6"/>
        <v>54</v>
      </c>
      <c r="G48">
        <f t="shared" si="7"/>
        <v>56</v>
      </c>
      <c r="H48">
        <f t="shared" si="8"/>
        <v>73</v>
      </c>
      <c r="I48">
        <f t="shared" si="9"/>
        <v>54</v>
      </c>
      <c r="J48">
        <f t="shared" si="10"/>
        <v>97</v>
      </c>
      <c r="K48">
        <f t="shared" si="11"/>
        <v>78</v>
      </c>
      <c r="L48">
        <f t="shared" si="12"/>
        <v>18</v>
      </c>
      <c r="M48">
        <f t="shared" si="13"/>
        <v>0</v>
      </c>
      <c r="N48">
        <f t="shared" si="14"/>
        <v>22</v>
      </c>
      <c r="O48">
        <f t="shared" si="15"/>
        <v>0</v>
      </c>
      <c r="P48">
        <f t="shared" si="16"/>
        <v>22</v>
      </c>
      <c r="Q48">
        <f t="shared" si="17"/>
        <v>10</v>
      </c>
      <c r="R48">
        <f t="shared" si="18"/>
        <v>18</v>
      </c>
      <c r="S48">
        <f t="shared" si="19"/>
        <v>41</v>
      </c>
      <c r="T48">
        <f t="shared" si="20"/>
        <v>5</v>
      </c>
      <c r="U48">
        <f t="shared" si="21"/>
        <v>10</v>
      </c>
      <c r="V48">
        <f t="shared" si="22"/>
        <v>0</v>
      </c>
      <c r="W48">
        <f t="shared" si="23"/>
        <v>0</v>
      </c>
      <c r="X48">
        <f t="shared" si="24"/>
        <v>0</v>
      </c>
      <c r="Y48">
        <f t="shared" si="25"/>
        <v>41</v>
      </c>
      <c r="Z48">
        <f t="shared" si="26"/>
        <v>5</v>
      </c>
      <c r="AA48">
        <f t="shared" si="27"/>
        <v>10</v>
      </c>
      <c r="AB48">
        <f t="shared" si="28"/>
        <v>18</v>
      </c>
      <c r="AC48">
        <f t="shared" si="29"/>
        <v>-9</v>
      </c>
      <c r="AD48">
        <f t="shared" si="30"/>
        <v>22</v>
      </c>
      <c r="AE48">
        <f t="shared" si="31"/>
        <v>0</v>
      </c>
      <c r="AF48">
        <f t="shared" si="32"/>
        <v>73</v>
      </c>
      <c r="AG48">
        <f t="shared" si="33"/>
        <v>0</v>
      </c>
      <c r="AH48">
        <f t="shared" si="34"/>
        <v>0</v>
      </c>
      <c r="AI48">
        <f t="shared" si="35"/>
        <v>38</v>
      </c>
      <c r="AM48">
        <f t="shared" si="0"/>
        <v>23</v>
      </c>
      <c r="AN48">
        <f t="shared" si="1"/>
        <v>66</v>
      </c>
      <c r="AO48">
        <f t="shared" si="2"/>
        <v>88</v>
      </c>
      <c r="AP48">
        <f t="shared" si="3"/>
        <v>99</v>
      </c>
    </row>
    <row r="49" spans="1:42" x14ac:dyDescent="0.3">
      <c r="A49">
        <f t="shared" si="4"/>
        <v>47</v>
      </c>
      <c r="B49">
        <f t="shared" si="5"/>
        <v>10</v>
      </c>
      <c r="C49" s="2">
        <v>82</v>
      </c>
      <c r="D49" s="2">
        <v>83.999999999999986</v>
      </c>
      <c r="E49" s="2">
        <v>77</v>
      </c>
      <c r="F49">
        <f t="shared" si="6"/>
        <v>72</v>
      </c>
      <c r="G49">
        <f t="shared" si="7"/>
        <v>75</v>
      </c>
      <c r="H49">
        <f t="shared" si="8"/>
        <v>68</v>
      </c>
      <c r="I49">
        <f t="shared" si="9"/>
        <v>72</v>
      </c>
      <c r="J49">
        <f t="shared" si="10"/>
        <v>75</v>
      </c>
      <c r="K49">
        <f t="shared" si="11"/>
        <v>90</v>
      </c>
      <c r="L49">
        <f t="shared" si="12"/>
        <v>10</v>
      </c>
      <c r="M49">
        <f t="shared" si="13"/>
        <v>8.9999999999999858</v>
      </c>
      <c r="N49">
        <f t="shared" si="14"/>
        <v>0</v>
      </c>
      <c r="O49">
        <f t="shared" si="15"/>
        <v>8.9999999999999858</v>
      </c>
      <c r="P49">
        <f t="shared" si="16"/>
        <v>0</v>
      </c>
      <c r="Q49">
        <f t="shared" si="17"/>
        <v>10</v>
      </c>
      <c r="R49">
        <f t="shared" si="18"/>
        <v>10</v>
      </c>
      <c r="S49">
        <f t="shared" si="19"/>
        <v>0</v>
      </c>
      <c r="T49">
        <f t="shared" si="20"/>
        <v>22</v>
      </c>
      <c r="U49">
        <f t="shared" si="21"/>
        <v>10</v>
      </c>
      <c r="V49">
        <f t="shared" si="22"/>
        <v>0</v>
      </c>
      <c r="W49">
        <f t="shared" si="23"/>
        <v>0</v>
      </c>
      <c r="X49">
        <f t="shared" si="24"/>
        <v>0</v>
      </c>
      <c r="Y49">
        <f t="shared" si="25"/>
        <v>0</v>
      </c>
      <c r="Z49">
        <f t="shared" si="26"/>
        <v>22</v>
      </c>
      <c r="AA49">
        <f t="shared" si="27"/>
        <v>10</v>
      </c>
      <c r="AB49">
        <f t="shared" si="28"/>
        <v>10</v>
      </c>
      <c r="AC49">
        <f t="shared" si="29"/>
        <v>8.9999999999999858</v>
      </c>
      <c r="AD49">
        <f t="shared" si="30"/>
        <v>-13</v>
      </c>
      <c r="AE49">
        <f t="shared" si="31"/>
        <v>0</v>
      </c>
      <c r="AF49">
        <f t="shared" si="32"/>
        <v>75</v>
      </c>
      <c r="AG49">
        <f t="shared" si="33"/>
        <v>0</v>
      </c>
      <c r="AH49">
        <f t="shared" si="34"/>
        <v>0</v>
      </c>
      <c r="AI49">
        <f t="shared" si="35"/>
        <v>37.000000000000014</v>
      </c>
      <c r="AM49">
        <f t="shared" si="0"/>
        <v>24</v>
      </c>
      <c r="AN49">
        <f t="shared" si="1"/>
        <v>66</v>
      </c>
      <c r="AO49">
        <f t="shared" si="2"/>
        <v>88</v>
      </c>
      <c r="AP49">
        <f t="shared" si="3"/>
        <v>99</v>
      </c>
    </row>
    <row r="50" spans="1:42" x14ac:dyDescent="0.3">
      <c r="A50">
        <f t="shared" si="4"/>
        <v>48</v>
      </c>
      <c r="B50">
        <f t="shared" si="5"/>
        <v>10</v>
      </c>
      <c r="C50" s="2">
        <v>71</v>
      </c>
      <c r="D50" s="2">
        <v>82</v>
      </c>
      <c r="E50" s="2">
        <v>72</v>
      </c>
      <c r="F50">
        <f t="shared" si="6"/>
        <v>73.000000000000014</v>
      </c>
      <c r="G50">
        <f t="shared" si="7"/>
        <v>75</v>
      </c>
      <c r="H50">
        <f t="shared" si="8"/>
        <v>80</v>
      </c>
      <c r="I50">
        <f t="shared" si="9"/>
        <v>73.000000000000014</v>
      </c>
      <c r="J50">
        <f t="shared" si="10"/>
        <v>83.999999999999986</v>
      </c>
      <c r="K50">
        <f t="shared" si="11"/>
        <v>80</v>
      </c>
      <c r="L50">
        <f t="shared" si="12"/>
        <v>0</v>
      </c>
      <c r="M50">
        <f t="shared" si="13"/>
        <v>0</v>
      </c>
      <c r="N50">
        <f t="shared" si="14"/>
        <v>0</v>
      </c>
      <c r="O50">
        <f t="shared" si="15"/>
        <v>0</v>
      </c>
      <c r="P50">
        <f t="shared" si="16"/>
        <v>0</v>
      </c>
      <c r="Q50">
        <f t="shared" si="17"/>
        <v>10</v>
      </c>
      <c r="R50">
        <f t="shared" si="18"/>
        <v>0</v>
      </c>
      <c r="S50">
        <f t="shared" si="19"/>
        <v>8.9999999999999858</v>
      </c>
      <c r="T50">
        <f t="shared" si="20"/>
        <v>0</v>
      </c>
      <c r="U50">
        <f t="shared" si="21"/>
        <v>10</v>
      </c>
      <c r="V50">
        <f t="shared" si="22"/>
        <v>0</v>
      </c>
      <c r="W50">
        <f t="shared" si="23"/>
        <v>0</v>
      </c>
      <c r="X50">
        <f t="shared" si="24"/>
        <v>0</v>
      </c>
      <c r="Y50">
        <f t="shared" si="25"/>
        <v>8.9999999999999858</v>
      </c>
      <c r="Z50">
        <f t="shared" si="26"/>
        <v>0</v>
      </c>
      <c r="AA50">
        <f t="shared" si="27"/>
        <v>10</v>
      </c>
      <c r="AB50">
        <f t="shared" si="28"/>
        <v>-2.0000000000000142</v>
      </c>
      <c r="AC50">
        <f t="shared" si="29"/>
        <v>-1.9999999999999858</v>
      </c>
      <c r="AD50">
        <f t="shared" si="30"/>
        <v>-8</v>
      </c>
      <c r="AE50">
        <f t="shared" si="31"/>
        <v>0</v>
      </c>
      <c r="AF50">
        <f t="shared" si="32"/>
        <v>80</v>
      </c>
      <c r="AG50">
        <f t="shared" si="33"/>
        <v>0</v>
      </c>
      <c r="AH50">
        <f t="shared" si="34"/>
        <v>0</v>
      </c>
      <c r="AI50">
        <f t="shared" si="35"/>
        <v>17.999999999999986</v>
      </c>
      <c r="AM50">
        <f t="shared" si="0"/>
        <v>24</v>
      </c>
      <c r="AN50">
        <f t="shared" si="1"/>
        <v>48</v>
      </c>
      <c r="AO50">
        <f t="shared" si="2"/>
        <v>57</v>
      </c>
      <c r="AP50">
        <f t="shared" si="3"/>
        <v>75</v>
      </c>
    </row>
    <row r="51" spans="1:42" x14ac:dyDescent="0.3">
      <c r="A51">
        <f t="shared" si="4"/>
        <v>49</v>
      </c>
      <c r="B51">
        <f t="shared" si="5"/>
        <v>10</v>
      </c>
      <c r="C51" s="2">
        <v>77</v>
      </c>
      <c r="D51" s="2">
        <v>101.99999999999999</v>
      </c>
      <c r="E51" s="2">
        <v>91</v>
      </c>
      <c r="F51">
        <f t="shared" si="6"/>
        <v>73.000000000000014</v>
      </c>
      <c r="G51">
        <f t="shared" si="7"/>
        <v>83.999999999999986</v>
      </c>
      <c r="H51">
        <f t="shared" si="8"/>
        <v>70</v>
      </c>
      <c r="I51">
        <f t="shared" si="9"/>
        <v>73.000000000000014</v>
      </c>
      <c r="J51">
        <f t="shared" si="10"/>
        <v>83.999999999999986</v>
      </c>
      <c r="K51">
        <f t="shared" si="11"/>
        <v>70</v>
      </c>
      <c r="L51">
        <f t="shared" si="12"/>
        <v>3.9999999999999858</v>
      </c>
      <c r="M51">
        <f t="shared" si="13"/>
        <v>18</v>
      </c>
      <c r="N51">
        <f t="shared" si="14"/>
        <v>21</v>
      </c>
      <c r="O51">
        <f t="shared" si="15"/>
        <v>18</v>
      </c>
      <c r="P51">
        <f t="shared" si="16"/>
        <v>21</v>
      </c>
      <c r="Q51">
        <f t="shared" si="17"/>
        <v>10</v>
      </c>
      <c r="R51">
        <f t="shared" si="18"/>
        <v>3.9999999999999858</v>
      </c>
      <c r="S51">
        <f t="shared" si="19"/>
        <v>0</v>
      </c>
      <c r="T51">
        <f t="shared" si="20"/>
        <v>0</v>
      </c>
      <c r="U51">
        <f t="shared" si="21"/>
        <v>10</v>
      </c>
      <c r="V51">
        <f t="shared" si="22"/>
        <v>0</v>
      </c>
      <c r="W51">
        <f t="shared" si="23"/>
        <v>0</v>
      </c>
      <c r="X51">
        <f t="shared" si="24"/>
        <v>0</v>
      </c>
      <c r="Y51">
        <f t="shared" si="25"/>
        <v>0</v>
      </c>
      <c r="Z51">
        <f t="shared" si="26"/>
        <v>0</v>
      </c>
      <c r="AA51">
        <f t="shared" si="27"/>
        <v>10</v>
      </c>
      <c r="AB51">
        <f t="shared" si="28"/>
        <v>3.9999999999999858</v>
      </c>
      <c r="AC51">
        <f t="shared" si="29"/>
        <v>18</v>
      </c>
      <c r="AD51">
        <f t="shared" si="30"/>
        <v>21</v>
      </c>
      <c r="AE51">
        <f t="shared" si="31"/>
        <v>0</v>
      </c>
      <c r="AF51">
        <f t="shared" si="32"/>
        <v>83.999999999999986</v>
      </c>
      <c r="AG51">
        <f t="shared" si="33"/>
        <v>0</v>
      </c>
      <c r="AH51">
        <f t="shared" si="34"/>
        <v>0</v>
      </c>
      <c r="AI51">
        <f t="shared" si="35"/>
        <v>44.999999999999986</v>
      </c>
      <c r="AM51">
        <f t="shared" si="0"/>
        <v>25</v>
      </c>
      <c r="AN51">
        <f t="shared" si="1"/>
        <v>48</v>
      </c>
      <c r="AO51">
        <f t="shared" si="2"/>
        <v>57</v>
      </c>
      <c r="AP51">
        <f t="shared" si="3"/>
        <v>75</v>
      </c>
    </row>
    <row r="52" spans="1:42" x14ac:dyDescent="0.3">
      <c r="A52">
        <f t="shared" si="4"/>
        <v>50</v>
      </c>
      <c r="B52">
        <f t="shared" si="5"/>
        <v>10</v>
      </c>
      <c r="C52" s="2">
        <v>88</v>
      </c>
      <c r="D52" s="2">
        <v>85</v>
      </c>
      <c r="E52" s="2">
        <v>92</v>
      </c>
      <c r="F52">
        <f t="shared" si="6"/>
        <v>59</v>
      </c>
      <c r="G52">
        <f t="shared" si="7"/>
        <v>62.999999999999986</v>
      </c>
      <c r="H52">
        <f t="shared" si="8"/>
        <v>60</v>
      </c>
      <c r="I52">
        <f t="shared" si="9"/>
        <v>59</v>
      </c>
      <c r="J52">
        <f t="shared" si="10"/>
        <v>80.999999999999986</v>
      </c>
      <c r="K52">
        <f t="shared" si="11"/>
        <v>81</v>
      </c>
      <c r="L52">
        <f t="shared" si="12"/>
        <v>29</v>
      </c>
      <c r="M52">
        <f t="shared" si="13"/>
        <v>4.0000000000000142</v>
      </c>
      <c r="N52">
        <f t="shared" si="14"/>
        <v>11</v>
      </c>
      <c r="O52">
        <f t="shared" si="15"/>
        <v>4.0000000000000142</v>
      </c>
      <c r="P52">
        <f t="shared" si="16"/>
        <v>11</v>
      </c>
      <c r="Q52">
        <f t="shared" si="17"/>
        <v>10</v>
      </c>
      <c r="R52">
        <f t="shared" si="18"/>
        <v>29</v>
      </c>
      <c r="S52">
        <f t="shared" si="19"/>
        <v>18</v>
      </c>
      <c r="T52">
        <f t="shared" si="20"/>
        <v>21</v>
      </c>
      <c r="U52">
        <f t="shared" si="21"/>
        <v>10</v>
      </c>
      <c r="V52">
        <f t="shared" si="22"/>
        <v>0</v>
      </c>
      <c r="W52">
        <f t="shared" si="23"/>
        <v>0</v>
      </c>
      <c r="X52">
        <f t="shared" si="24"/>
        <v>0</v>
      </c>
      <c r="Y52">
        <f t="shared" si="25"/>
        <v>18</v>
      </c>
      <c r="Z52">
        <f t="shared" si="26"/>
        <v>21</v>
      </c>
      <c r="AA52">
        <f t="shared" si="27"/>
        <v>10</v>
      </c>
      <c r="AB52">
        <f t="shared" si="28"/>
        <v>29</v>
      </c>
      <c r="AC52">
        <f t="shared" si="29"/>
        <v>4.0000000000000142</v>
      </c>
      <c r="AD52">
        <f t="shared" si="30"/>
        <v>11</v>
      </c>
      <c r="AE52">
        <f t="shared" si="31"/>
        <v>0</v>
      </c>
      <c r="AF52">
        <f t="shared" si="32"/>
        <v>62.999999999999986</v>
      </c>
      <c r="AG52">
        <f t="shared" si="33"/>
        <v>0</v>
      </c>
      <c r="AH52">
        <f t="shared" si="34"/>
        <v>0</v>
      </c>
      <c r="AI52">
        <f t="shared" si="35"/>
        <v>28.999999999999986</v>
      </c>
      <c r="AM52">
        <f t="shared" si="0"/>
        <v>25</v>
      </c>
      <c r="AN52">
        <f t="shared" si="1"/>
        <v>72</v>
      </c>
      <c r="AO52">
        <f t="shared" si="2"/>
        <v>86</v>
      </c>
      <c r="AP52">
        <f t="shared" si="3"/>
        <v>87</v>
      </c>
    </row>
    <row r="53" spans="1:42" x14ac:dyDescent="0.3">
      <c r="A53">
        <f t="shared" si="4"/>
        <v>51</v>
      </c>
      <c r="B53">
        <f t="shared" si="5"/>
        <v>10</v>
      </c>
      <c r="C53" s="2">
        <v>76</v>
      </c>
      <c r="D53" s="2">
        <v>79</v>
      </c>
      <c r="E53" s="2">
        <v>90</v>
      </c>
      <c r="F53">
        <f t="shared" si="6"/>
        <v>83.999999999999986</v>
      </c>
      <c r="G53">
        <f t="shared" si="7"/>
        <v>69.999999999999986</v>
      </c>
      <c r="H53">
        <f t="shared" si="8"/>
        <v>71</v>
      </c>
      <c r="I53">
        <f t="shared" si="9"/>
        <v>83.999999999999986</v>
      </c>
      <c r="J53">
        <f t="shared" si="10"/>
        <v>74</v>
      </c>
      <c r="K53">
        <f t="shared" si="11"/>
        <v>82</v>
      </c>
      <c r="L53">
        <f t="shared" si="12"/>
        <v>0</v>
      </c>
      <c r="M53">
        <f t="shared" si="13"/>
        <v>5</v>
      </c>
      <c r="N53">
        <f t="shared" si="14"/>
        <v>8</v>
      </c>
      <c r="O53">
        <f t="shared" si="15"/>
        <v>5</v>
      </c>
      <c r="P53">
        <f t="shared" si="16"/>
        <v>8</v>
      </c>
      <c r="Q53">
        <f t="shared" si="17"/>
        <v>10</v>
      </c>
      <c r="R53">
        <f t="shared" si="18"/>
        <v>0</v>
      </c>
      <c r="S53">
        <f t="shared" si="19"/>
        <v>4.0000000000000142</v>
      </c>
      <c r="T53">
        <f t="shared" si="20"/>
        <v>11</v>
      </c>
      <c r="U53">
        <f t="shared" si="21"/>
        <v>10</v>
      </c>
      <c r="V53">
        <f t="shared" si="22"/>
        <v>0</v>
      </c>
      <c r="W53">
        <f t="shared" si="23"/>
        <v>0</v>
      </c>
      <c r="X53">
        <f t="shared" si="24"/>
        <v>0</v>
      </c>
      <c r="Y53">
        <f t="shared" si="25"/>
        <v>4.0000000000000142</v>
      </c>
      <c r="Z53">
        <f t="shared" si="26"/>
        <v>11</v>
      </c>
      <c r="AA53">
        <f t="shared" si="27"/>
        <v>10</v>
      </c>
      <c r="AB53">
        <f t="shared" si="28"/>
        <v>-7.9999999999999858</v>
      </c>
      <c r="AC53">
        <f t="shared" si="29"/>
        <v>5</v>
      </c>
      <c r="AD53">
        <f t="shared" si="30"/>
        <v>8</v>
      </c>
      <c r="AE53">
        <f t="shared" si="31"/>
        <v>0</v>
      </c>
      <c r="AF53">
        <f t="shared" si="32"/>
        <v>83.999999999999986</v>
      </c>
      <c r="AG53">
        <f t="shared" si="33"/>
        <v>0</v>
      </c>
      <c r="AH53">
        <f t="shared" si="34"/>
        <v>0</v>
      </c>
      <c r="AI53">
        <f t="shared" si="35"/>
        <v>20</v>
      </c>
      <c r="AM53">
        <f t="shared" si="0"/>
        <v>26</v>
      </c>
      <c r="AN53">
        <f t="shared" si="1"/>
        <v>72</v>
      </c>
      <c r="AO53">
        <f t="shared" si="2"/>
        <v>86</v>
      </c>
      <c r="AP53">
        <f t="shared" si="3"/>
        <v>87</v>
      </c>
    </row>
    <row r="54" spans="1:42" x14ac:dyDescent="0.3">
      <c r="A54">
        <f t="shared" si="4"/>
        <v>52</v>
      </c>
      <c r="B54">
        <f t="shared" si="5"/>
        <v>10</v>
      </c>
      <c r="C54" s="2">
        <v>53</v>
      </c>
      <c r="D54" s="2">
        <v>77</v>
      </c>
      <c r="E54" s="2">
        <v>75</v>
      </c>
      <c r="F54">
        <f t="shared" si="6"/>
        <v>78.999999999999986</v>
      </c>
      <c r="G54">
        <f t="shared" si="7"/>
        <v>66</v>
      </c>
      <c r="H54">
        <f t="shared" si="8"/>
        <v>72</v>
      </c>
      <c r="I54">
        <f t="shared" si="9"/>
        <v>78.999999999999986</v>
      </c>
      <c r="J54">
        <f t="shared" si="10"/>
        <v>71</v>
      </c>
      <c r="K54">
        <f t="shared" si="11"/>
        <v>80</v>
      </c>
      <c r="L54">
        <f t="shared" si="12"/>
        <v>0</v>
      </c>
      <c r="M54">
        <f t="shared" si="13"/>
        <v>6</v>
      </c>
      <c r="N54">
        <f t="shared" si="14"/>
        <v>0</v>
      </c>
      <c r="O54">
        <f t="shared" si="15"/>
        <v>6</v>
      </c>
      <c r="P54">
        <f t="shared" si="16"/>
        <v>0</v>
      </c>
      <c r="Q54">
        <f t="shared" si="17"/>
        <v>10</v>
      </c>
      <c r="R54">
        <f t="shared" si="18"/>
        <v>0</v>
      </c>
      <c r="S54">
        <f t="shared" si="19"/>
        <v>5</v>
      </c>
      <c r="T54">
        <f t="shared" si="20"/>
        <v>8</v>
      </c>
      <c r="U54">
        <f t="shared" si="21"/>
        <v>10</v>
      </c>
      <c r="V54">
        <f t="shared" si="22"/>
        <v>0</v>
      </c>
      <c r="W54">
        <f t="shared" si="23"/>
        <v>0</v>
      </c>
      <c r="X54">
        <f t="shared" si="24"/>
        <v>0</v>
      </c>
      <c r="Y54">
        <f t="shared" si="25"/>
        <v>5</v>
      </c>
      <c r="Z54">
        <f t="shared" si="26"/>
        <v>8</v>
      </c>
      <c r="AA54">
        <f t="shared" si="27"/>
        <v>10</v>
      </c>
      <c r="AB54">
        <f t="shared" si="28"/>
        <v>-25.999999999999986</v>
      </c>
      <c r="AC54">
        <f t="shared" si="29"/>
        <v>6</v>
      </c>
      <c r="AD54">
        <f t="shared" si="30"/>
        <v>-5</v>
      </c>
      <c r="AE54">
        <f t="shared" si="31"/>
        <v>0</v>
      </c>
      <c r="AF54">
        <f t="shared" si="32"/>
        <v>78.999999999999986</v>
      </c>
      <c r="AG54">
        <f t="shared" si="33"/>
        <v>0</v>
      </c>
      <c r="AH54">
        <f t="shared" si="34"/>
        <v>0</v>
      </c>
      <c r="AI54">
        <f t="shared" si="35"/>
        <v>40</v>
      </c>
      <c r="AM54">
        <f t="shared" si="0"/>
        <v>26</v>
      </c>
      <c r="AN54">
        <f t="shared" si="1"/>
        <v>71</v>
      </c>
      <c r="AO54">
        <f t="shared" si="2"/>
        <v>84</v>
      </c>
      <c r="AP54">
        <f t="shared" si="3"/>
        <v>79</v>
      </c>
    </row>
    <row r="55" spans="1:42" x14ac:dyDescent="0.3">
      <c r="A55">
        <f t="shared" si="4"/>
        <v>53</v>
      </c>
      <c r="B55">
        <f t="shared" si="5"/>
        <v>10</v>
      </c>
      <c r="C55" s="2">
        <v>85</v>
      </c>
      <c r="D55" s="2">
        <v>98</v>
      </c>
      <c r="E55" s="2">
        <v>102.99999999999999</v>
      </c>
      <c r="F55">
        <f t="shared" si="6"/>
        <v>72.999999999999986</v>
      </c>
      <c r="G55">
        <f t="shared" si="7"/>
        <v>71</v>
      </c>
      <c r="H55">
        <f t="shared" si="8"/>
        <v>70</v>
      </c>
      <c r="I55">
        <f t="shared" si="9"/>
        <v>72.999999999999986</v>
      </c>
      <c r="J55">
        <f t="shared" si="10"/>
        <v>77</v>
      </c>
      <c r="K55">
        <f t="shared" si="11"/>
        <v>70</v>
      </c>
      <c r="L55">
        <f t="shared" si="12"/>
        <v>12.000000000000014</v>
      </c>
      <c r="M55">
        <f t="shared" si="13"/>
        <v>21</v>
      </c>
      <c r="N55">
        <f t="shared" si="14"/>
        <v>32.999999999999986</v>
      </c>
      <c r="O55">
        <f t="shared" si="15"/>
        <v>21</v>
      </c>
      <c r="P55">
        <f t="shared" si="16"/>
        <v>32.999999999999986</v>
      </c>
      <c r="Q55">
        <f t="shared" si="17"/>
        <v>10</v>
      </c>
      <c r="R55">
        <f t="shared" si="18"/>
        <v>12.000000000000014</v>
      </c>
      <c r="S55">
        <f t="shared" si="19"/>
        <v>6</v>
      </c>
      <c r="T55">
        <f t="shared" si="20"/>
        <v>0</v>
      </c>
      <c r="U55">
        <f t="shared" si="21"/>
        <v>10</v>
      </c>
      <c r="V55">
        <f t="shared" si="22"/>
        <v>0</v>
      </c>
      <c r="W55">
        <f t="shared" si="23"/>
        <v>0</v>
      </c>
      <c r="X55">
        <f t="shared" si="24"/>
        <v>0</v>
      </c>
      <c r="Y55">
        <f t="shared" si="25"/>
        <v>6</v>
      </c>
      <c r="Z55">
        <f t="shared" si="26"/>
        <v>0</v>
      </c>
      <c r="AA55">
        <f t="shared" si="27"/>
        <v>10</v>
      </c>
      <c r="AB55">
        <f t="shared" si="28"/>
        <v>12.000000000000014</v>
      </c>
      <c r="AC55">
        <f t="shared" si="29"/>
        <v>21</v>
      </c>
      <c r="AD55">
        <f t="shared" si="30"/>
        <v>32.999999999999986</v>
      </c>
      <c r="AE55">
        <f t="shared" si="31"/>
        <v>0</v>
      </c>
      <c r="AF55">
        <f t="shared" si="32"/>
        <v>72.999999999999986</v>
      </c>
      <c r="AG55">
        <f t="shared" si="33"/>
        <v>0</v>
      </c>
      <c r="AH55">
        <f t="shared" si="34"/>
        <v>0</v>
      </c>
      <c r="AI55">
        <f t="shared" si="35"/>
        <v>80.999999999999986</v>
      </c>
      <c r="AM55">
        <f t="shared" si="0"/>
        <v>27</v>
      </c>
      <c r="AN55">
        <f t="shared" si="1"/>
        <v>71</v>
      </c>
      <c r="AO55">
        <f t="shared" si="2"/>
        <v>84</v>
      </c>
      <c r="AP55">
        <f t="shared" si="3"/>
        <v>79</v>
      </c>
    </row>
    <row r="56" spans="1:42" x14ac:dyDescent="0.3">
      <c r="A56">
        <f t="shared" si="4"/>
        <v>54</v>
      </c>
      <c r="B56">
        <f t="shared" si="5"/>
        <v>10</v>
      </c>
      <c r="C56" s="2">
        <v>71</v>
      </c>
      <c r="D56" s="2">
        <v>68</v>
      </c>
      <c r="E56" s="2">
        <v>89</v>
      </c>
      <c r="F56">
        <f t="shared" si="6"/>
        <v>64</v>
      </c>
      <c r="G56">
        <f t="shared" si="7"/>
        <v>44.000000000000014</v>
      </c>
      <c r="H56">
        <f t="shared" si="8"/>
        <v>60</v>
      </c>
      <c r="I56">
        <f t="shared" si="9"/>
        <v>64</v>
      </c>
      <c r="J56">
        <f t="shared" si="10"/>
        <v>65.000000000000014</v>
      </c>
      <c r="K56">
        <f t="shared" si="11"/>
        <v>92.999999999999986</v>
      </c>
      <c r="L56">
        <f t="shared" si="12"/>
        <v>7</v>
      </c>
      <c r="M56">
        <f t="shared" si="13"/>
        <v>2.9999999999999858</v>
      </c>
      <c r="N56">
        <f t="shared" si="14"/>
        <v>0</v>
      </c>
      <c r="O56">
        <f t="shared" si="15"/>
        <v>2.9999999999999858</v>
      </c>
      <c r="P56">
        <f t="shared" si="16"/>
        <v>0</v>
      </c>
      <c r="Q56">
        <f t="shared" si="17"/>
        <v>10</v>
      </c>
      <c r="R56">
        <f t="shared" si="18"/>
        <v>7</v>
      </c>
      <c r="S56">
        <f t="shared" si="19"/>
        <v>21</v>
      </c>
      <c r="T56">
        <f t="shared" si="20"/>
        <v>32.999999999999986</v>
      </c>
      <c r="U56">
        <f t="shared" si="21"/>
        <v>10</v>
      </c>
      <c r="V56">
        <f t="shared" si="22"/>
        <v>0</v>
      </c>
      <c r="W56">
        <f t="shared" si="23"/>
        <v>0</v>
      </c>
      <c r="X56">
        <f t="shared" si="24"/>
        <v>0</v>
      </c>
      <c r="Y56">
        <f t="shared" si="25"/>
        <v>21</v>
      </c>
      <c r="Z56">
        <f t="shared" si="26"/>
        <v>32.999999999999986</v>
      </c>
      <c r="AA56">
        <f t="shared" si="27"/>
        <v>10</v>
      </c>
      <c r="AB56">
        <f t="shared" si="28"/>
        <v>7</v>
      </c>
      <c r="AC56">
        <f t="shared" si="29"/>
        <v>2.9999999999999858</v>
      </c>
      <c r="AD56">
        <f t="shared" si="30"/>
        <v>-3.9999999999999858</v>
      </c>
      <c r="AE56">
        <f t="shared" si="31"/>
        <v>0</v>
      </c>
      <c r="AF56">
        <f t="shared" si="32"/>
        <v>64</v>
      </c>
      <c r="AG56">
        <f t="shared" si="33"/>
        <v>0</v>
      </c>
      <c r="AH56">
        <f t="shared" si="34"/>
        <v>0</v>
      </c>
      <c r="AI56">
        <f t="shared" si="35"/>
        <v>57.999999999999986</v>
      </c>
      <c r="AM56">
        <f t="shared" si="0"/>
        <v>27</v>
      </c>
      <c r="AN56">
        <f t="shared" si="1"/>
        <v>74</v>
      </c>
      <c r="AO56">
        <f t="shared" si="2"/>
        <v>75</v>
      </c>
      <c r="AP56">
        <f t="shared" si="3"/>
        <v>75</v>
      </c>
    </row>
    <row r="57" spans="1:42" x14ac:dyDescent="0.3">
      <c r="A57">
        <f t="shared" si="4"/>
        <v>55</v>
      </c>
      <c r="B57">
        <f t="shared" si="5"/>
        <v>10</v>
      </c>
      <c r="C57" s="2">
        <v>92</v>
      </c>
      <c r="D57" s="2">
        <v>102</v>
      </c>
      <c r="E57" s="2">
        <v>101</v>
      </c>
      <c r="F57">
        <f t="shared" si="6"/>
        <v>68.000000000000014</v>
      </c>
      <c r="G57">
        <f t="shared" si="7"/>
        <v>65.000000000000014</v>
      </c>
      <c r="H57">
        <f t="shared" si="8"/>
        <v>82.999999999999986</v>
      </c>
      <c r="I57">
        <f t="shared" si="9"/>
        <v>68.000000000000014</v>
      </c>
      <c r="J57">
        <f t="shared" si="10"/>
        <v>68</v>
      </c>
      <c r="K57">
        <f t="shared" si="11"/>
        <v>82.999999999999986</v>
      </c>
      <c r="L57">
        <f t="shared" si="12"/>
        <v>23.999999999999986</v>
      </c>
      <c r="M57">
        <f t="shared" si="13"/>
        <v>34</v>
      </c>
      <c r="N57">
        <f t="shared" si="14"/>
        <v>18.000000000000014</v>
      </c>
      <c r="O57">
        <f t="shared" si="15"/>
        <v>34</v>
      </c>
      <c r="P57">
        <f t="shared" si="16"/>
        <v>18.000000000000014</v>
      </c>
      <c r="Q57">
        <f t="shared" si="17"/>
        <v>10</v>
      </c>
      <c r="R57">
        <f t="shared" si="18"/>
        <v>23.999999999999986</v>
      </c>
      <c r="S57">
        <f t="shared" si="19"/>
        <v>2.9999999999999858</v>
      </c>
      <c r="T57">
        <f t="shared" si="20"/>
        <v>0</v>
      </c>
      <c r="U57">
        <f t="shared" si="21"/>
        <v>10</v>
      </c>
      <c r="V57">
        <f t="shared" si="22"/>
        <v>0</v>
      </c>
      <c r="W57">
        <f t="shared" si="23"/>
        <v>0</v>
      </c>
      <c r="X57">
        <f t="shared" si="24"/>
        <v>0</v>
      </c>
      <c r="Y57">
        <f t="shared" si="25"/>
        <v>2.9999999999999858</v>
      </c>
      <c r="Z57">
        <f t="shared" si="26"/>
        <v>0</v>
      </c>
      <c r="AA57">
        <f t="shared" si="27"/>
        <v>10</v>
      </c>
      <c r="AB57">
        <f t="shared" si="28"/>
        <v>23.999999999999986</v>
      </c>
      <c r="AC57">
        <f t="shared" si="29"/>
        <v>34</v>
      </c>
      <c r="AD57">
        <f t="shared" si="30"/>
        <v>18.000000000000014</v>
      </c>
      <c r="AE57">
        <f t="shared" si="31"/>
        <v>0</v>
      </c>
      <c r="AF57">
        <f t="shared" si="32"/>
        <v>82.999999999999986</v>
      </c>
      <c r="AG57">
        <f t="shared" si="33"/>
        <v>0</v>
      </c>
      <c r="AH57">
        <f t="shared" si="34"/>
        <v>0</v>
      </c>
      <c r="AI57">
        <f t="shared" si="35"/>
        <v>67</v>
      </c>
      <c r="AM57">
        <f t="shared" si="0"/>
        <v>28</v>
      </c>
      <c r="AN57">
        <f t="shared" si="1"/>
        <v>74</v>
      </c>
      <c r="AO57">
        <f t="shared" si="2"/>
        <v>75</v>
      </c>
      <c r="AP57">
        <f t="shared" si="3"/>
        <v>75</v>
      </c>
    </row>
    <row r="58" spans="1:42" x14ac:dyDescent="0.3">
      <c r="A58">
        <f t="shared" si="4"/>
        <v>56</v>
      </c>
      <c r="B58">
        <f t="shared" si="5"/>
        <v>10</v>
      </c>
      <c r="C58" s="2">
        <v>85</v>
      </c>
      <c r="D58" s="2">
        <v>84</v>
      </c>
      <c r="E58" s="2">
        <v>73</v>
      </c>
      <c r="F58">
        <f t="shared" si="6"/>
        <v>58</v>
      </c>
      <c r="G58">
        <f t="shared" si="7"/>
        <v>49.999999999999986</v>
      </c>
      <c r="H58">
        <f t="shared" si="8"/>
        <v>72.999999999999986</v>
      </c>
      <c r="I58">
        <f t="shared" si="9"/>
        <v>58</v>
      </c>
      <c r="J58">
        <f t="shared" si="10"/>
        <v>83.999999999999986</v>
      </c>
      <c r="K58">
        <f t="shared" si="11"/>
        <v>91</v>
      </c>
      <c r="L58">
        <f t="shared" si="12"/>
        <v>27</v>
      </c>
      <c r="M58">
        <f t="shared" si="13"/>
        <v>0</v>
      </c>
      <c r="N58">
        <f t="shared" si="14"/>
        <v>0</v>
      </c>
      <c r="O58">
        <f t="shared" si="15"/>
        <v>0</v>
      </c>
      <c r="P58">
        <f t="shared" si="16"/>
        <v>0</v>
      </c>
      <c r="Q58">
        <f t="shared" si="17"/>
        <v>10</v>
      </c>
      <c r="R58">
        <f t="shared" si="18"/>
        <v>27</v>
      </c>
      <c r="S58">
        <f t="shared" si="19"/>
        <v>34</v>
      </c>
      <c r="T58">
        <f t="shared" si="20"/>
        <v>18.000000000000014</v>
      </c>
      <c r="U58">
        <f t="shared" si="21"/>
        <v>10</v>
      </c>
      <c r="V58">
        <f t="shared" si="22"/>
        <v>0</v>
      </c>
      <c r="W58">
        <f t="shared" si="23"/>
        <v>0</v>
      </c>
      <c r="X58">
        <f t="shared" si="24"/>
        <v>0</v>
      </c>
      <c r="Y58">
        <f t="shared" si="25"/>
        <v>34</v>
      </c>
      <c r="Z58">
        <f t="shared" si="26"/>
        <v>18.000000000000014</v>
      </c>
      <c r="AA58">
        <f t="shared" si="27"/>
        <v>10</v>
      </c>
      <c r="AB58">
        <f t="shared" si="28"/>
        <v>27</v>
      </c>
      <c r="AC58">
        <f t="shared" si="29"/>
        <v>0</v>
      </c>
      <c r="AD58">
        <f t="shared" si="30"/>
        <v>-18</v>
      </c>
      <c r="AE58">
        <f t="shared" si="31"/>
        <v>0</v>
      </c>
      <c r="AF58">
        <f t="shared" si="32"/>
        <v>72.999999999999986</v>
      </c>
      <c r="AG58">
        <f t="shared" si="33"/>
        <v>0</v>
      </c>
      <c r="AH58">
        <f t="shared" si="34"/>
        <v>0</v>
      </c>
      <c r="AI58">
        <f t="shared" si="35"/>
        <v>53</v>
      </c>
      <c r="AM58">
        <f t="shared" si="0"/>
        <v>28</v>
      </c>
      <c r="AN58">
        <f t="shared" si="1"/>
        <v>82</v>
      </c>
      <c r="AO58">
        <f t="shared" si="2"/>
        <v>42</v>
      </c>
      <c r="AP58">
        <f t="shared" si="3"/>
        <v>55</v>
      </c>
    </row>
    <row r="59" spans="1:42" x14ac:dyDescent="0.3">
      <c r="A59">
        <f t="shared" si="4"/>
        <v>57</v>
      </c>
      <c r="B59">
        <f t="shared" si="5"/>
        <v>10</v>
      </c>
      <c r="C59" s="2">
        <v>89</v>
      </c>
      <c r="D59" s="2">
        <v>102</v>
      </c>
      <c r="E59" s="2">
        <v>105</v>
      </c>
      <c r="F59">
        <f t="shared" si="6"/>
        <v>85</v>
      </c>
      <c r="G59">
        <f t="shared" si="7"/>
        <v>83.999999999999986</v>
      </c>
      <c r="H59">
        <f t="shared" si="8"/>
        <v>81</v>
      </c>
      <c r="I59">
        <f t="shared" si="9"/>
        <v>85</v>
      </c>
      <c r="J59">
        <f t="shared" si="10"/>
        <v>83.999999999999986</v>
      </c>
      <c r="K59">
        <f t="shared" si="11"/>
        <v>81</v>
      </c>
      <c r="L59">
        <f t="shared" si="12"/>
        <v>4</v>
      </c>
      <c r="M59">
        <f t="shared" si="13"/>
        <v>18.000000000000014</v>
      </c>
      <c r="N59">
        <f t="shared" si="14"/>
        <v>24</v>
      </c>
      <c r="O59">
        <f t="shared" si="15"/>
        <v>18.000000000000014</v>
      </c>
      <c r="P59">
        <f t="shared" si="16"/>
        <v>24</v>
      </c>
      <c r="Q59">
        <f t="shared" si="17"/>
        <v>10</v>
      </c>
      <c r="R59">
        <f t="shared" si="18"/>
        <v>4</v>
      </c>
      <c r="S59">
        <f t="shared" si="19"/>
        <v>0</v>
      </c>
      <c r="T59">
        <f t="shared" si="20"/>
        <v>0</v>
      </c>
      <c r="U59">
        <f t="shared" si="21"/>
        <v>10</v>
      </c>
      <c r="V59">
        <f t="shared" si="22"/>
        <v>0</v>
      </c>
      <c r="W59">
        <f t="shared" si="23"/>
        <v>0</v>
      </c>
      <c r="X59">
        <f t="shared" si="24"/>
        <v>0</v>
      </c>
      <c r="Y59">
        <f t="shared" si="25"/>
        <v>0</v>
      </c>
      <c r="Z59">
        <f t="shared" si="26"/>
        <v>0</v>
      </c>
      <c r="AA59">
        <f t="shared" si="27"/>
        <v>10</v>
      </c>
      <c r="AB59">
        <f t="shared" si="28"/>
        <v>4</v>
      </c>
      <c r="AC59">
        <f t="shared" si="29"/>
        <v>18.000000000000014</v>
      </c>
      <c r="AD59">
        <f t="shared" si="30"/>
        <v>24</v>
      </c>
      <c r="AE59">
        <f t="shared" si="31"/>
        <v>0</v>
      </c>
      <c r="AF59">
        <f t="shared" si="32"/>
        <v>85</v>
      </c>
      <c r="AG59">
        <f t="shared" si="33"/>
        <v>0</v>
      </c>
      <c r="AH59">
        <f t="shared" si="34"/>
        <v>0</v>
      </c>
      <c r="AI59">
        <f t="shared" si="35"/>
        <v>54</v>
      </c>
      <c r="AM59">
        <f t="shared" si="0"/>
        <v>29</v>
      </c>
      <c r="AN59">
        <f t="shared" si="1"/>
        <v>82</v>
      </c>
      <c r="AO59">
        <f t="shared" si="2"/>
        <v>42</v>
      </c>
      <c r="AP59">
        <f t="shared" si="3"/>
        <v>55</v>
      </c>
    </row>
    <row r="60" spans="1:42" x14ac:dyDescent="0.3">
      <c r="A60">
        <f t="shared" si="4"/>
        <v>58</v>
      </c>
      <c r="B60">
        <f t="shared" si="5"/>
        <v>10</v>
      </c>
      <c r="C60" s="2">
        <v>87</v>
      </c>
      <c r="D60" s="2">
        <v>81</v>
      </c>
      <c r="E60" s="2">
        <v>85</v>
      </c>
      <c r="F60">
        <f t="shared" si="6"/>
        <v>70.999999999999986</v>
      </c>
      <c r="G60">
        <f t="shared" si="7"/>
        <v>59.999999999999986</v>
      </c>
      <c r="H60">
        <f t="shared" si="8"/>
        <v>71</v>
      </c>
      <c r="I60">
        <f t="shared" si="9"/>
        <v>70.999999999999986</v>
      </c>
      <c r="J60">
        <f t="shared" si="10"/>
        <v>78</v>
      </c>
      <c r="K60">
        <f t="shared" si="11"/>
        <v>95</v>
      </c>
      <c r="L60">
        <f t="shared" si="12"/>
        <v>16.000000000000014</v>
      </c>
      <c r="M60">
        <f t="shared" si="13"/>
        <v>3</v>
      </c>
      <c r="N60">
        <f t="shared" si="14"/>
        <v>0</v>
      </c>
      <c r="O60">
        <f t="shared" si="15"/>
        <v>3</v>
      </c>
      <c r="P60">
        <f t="shared" si="16"/>
        <v>0</v>
      </c>
      <c r="Q60">
        <f t="shared" si="17"/>
        <v>10</v>
      </c>
      <c r="R60">
        <f t="shared" si="18"/>
        <v>16.000000000000014</v>
      </c>
      <c r="S60">
        <f t="shared" si="19"/>
        <v>18.000000000000014</v>
      </c>
      <c r="T60">
        <f t="shared" si="20"/>
        <v>24</v>
      </c>
      <c r="U60">
        <f t="shared" si="21"/>
        <v>10</v>
      </c>
      <c r="V60">
        <f t="shared" si="22"/>
        <v>0</v>
      </c>
      <c r="W60">
        <f t="shared" si="23"/>
        <v>0</v>
      </c>
      <c r="X60">
        <f t="shared" si="24"/>
        <v>0</v>
      </c>
      <c r="Y60">
        <f t="shared" si="25"/>
        <v>18.000000000000014</v>
      </c>
      <c r="Z60">
        <f t="shared" si="26"/>
        <v>24</v>
      </c>
      <c r="AA60">
        <f t="shared" si="27"/>
        <v>10</v>
      </c>
      <c r="AB60">
        <f t="shared" si="28"/>
        <v>16.000000000000014</v>
      </c>
      <c r="AC60">
        <f t="shared" si="29"/>
        <v>3</v>
      </c>
      <c r="AD60">
        <f t="shared" si="30"/>
        <v>-10</v>
      </c>
      <c r="AE60">
        <f t="shared" si="31"/>
        <v>0</v>
      </c>
      <c r="AF60">
        <f t="shared" si="32"/>
        <v>71</v>
      </c>
      <c r="AG60">
        <f t="shared" si="33"/>
        <v>0</v>
      </c>
      <c r="AH60">
        <f t="shared" si="34"/>
        <v>0</v>
      </c>
      <c r="AI60">
        <f t="shared" si="35"/>
        <v>43</v>
      </c>
      <c r="AM60">
        <f t="shared" si="0"/>
        <v>29</v>
      </c>
      <c r="AN60">
        <f t="shared" si="1"/>
        <v>75</v>
      </c>
      <c r="AO60">
        <f t="shared" si="2"/>
        <v>86</v>
      </c>
      <c r="AP60">
        <f t="shared" si="3"/>
        <v>94</v>
      </c>
    </row>
    <row r="61" spans="1:42" x14ac:dyDescent="0.3">
      <c r="A61">
        <f t="shared" si="4"/>
        <v>59</v>
      </c>
      <c r="B61">
        <f t="shared" si="5"/>
        <v>10</v>
      </c>
      <c r="C61" s="2">
        <v>86</v>
      </c>
      <c r="D61" s="2">
        <v>78</v>
      </c>
      <c r="E61" s="2">
        <v>105</v>
      </c>
      <c r="F61">
        <f t="shared" si="6"/>
        <v>84</v>
      </c>
      <c r="G61">
        <f t="shared" si="7"/>
        <v>78</v>
      </c>
      <c r="H61">
        <f t="shared" si="8"/>
        <v>85</v>
      </c>
      <c r="I61">
        <f t="shared" si="9"/>
        <v>84</v>
      </c>
      <c r="J61">
        <f t="shared" si="10"/>
        <v>81</v>
      </c>
      <c r="K61">
        <f t="shared" si="11"/>
        <v>85</v>
      </c>
      <c r="L61">
        <f t="shared" si="12"/>
        <v>2</v>
      </c>
      <c r="M61">
        <f t="shared" si="13"/>
        <v>0</v>
      </c>
      <c r="N61">
        <f t="shared" si="14"/>
        <v>20</v>
      </c>
      <c r="O61">
        <f t="shared" si="15"/>
        <v>0</v>
      </c>
      <c r="P61">
        <f t="shared" si="16"/>
        <v>20</v>
      </c>
      <c r="Q61">
        <f t="shared" si="17"/>
        <v>10</v>
      </c>
      <c r="R61">
        <f t="shared" si="18"/>
        <v>2</v>
      </c>
      <c r="S61">
        <f t="shared" si="19"/>
        <v>3</v>
      </c>
      <c r="T61">
        <f t="shared" si="20"/>
        <v>0</v>
      </c>
      <c r="U61">
        <f t="shared" si="21"/>
        <v>10</v>
      </c>
      <c r="V61">
        <f t="shared" si="22"/>
        <v>0</v>
      </c>
      <c r="W61">
        <f t="shared" si="23"/>
        <v>0</v>
      </c>
      <c r="X61">
        <f t="shared" si="24"/>
        <v>0</v>
      </c>
      <c r="Y61">
        <f t="shared" si="25"/>
        <v>3</v>
      </c>
      <c r="Z61">
        <f t="shared" si="26"/>
        <v>0</v>
      </c>
      <c r="AA61">
        <f t="shared" si="27"/>
        <v>10</v>
      </c>
      <c r="AB61">
        <f t="shared" si="28"/>
        <v>2</v>
      </c>
      <c r="AC61">
        <f t="shared" si="29"/>
        <v>-3</v>
      </c>
      <c r="AD61">
        <f t="shared" si="30"/>
        <v>20</v>
      </c>
      <c r="AE61">
        <f t="shared" si="31"/>
        <v>0</v>
      </c>
      <c r="AF61">
        <f t="shared" si="32"/>
        <v>85</v>
      </c>
      <c r="AG61">
        <f t="shared" si="33"/>
        <v>0</v>
      </c>
      <c r="AH61">
        <f t="shared" si="34"/>
        <v>0</v>
      </c>
      <c r="AI61">
        <f t="shared" si="35"/>
        <v>24</v>
      </c>
      <c r="AM61">
        <f t="shared" si="0"/>
        <v>30</v>
      </c>
      <c r="AN61">
        <f t="shared" si="1"/>
        <v>75</v>
      </c>
      <c r="AO61">
        <f t="shared" si="2"/>
        <v>86</v>
      </c>
      <c r="AP61">
        <f t="shared" si="3"/>
        <v>94</v>
      </c>
    </row>
    <row r="62" spans="1:42" x14ac:dyDescent="0.3">
      <c r="A62">
        <f t="shared" si="4"/>
        <v>60</v>
      </c>
      <c r="B62">
        <f t="shared" si="5"/>
        <v>10</v>
      </c>
      <c r="C62" s="2">
        <v>99</v>
      </c>
      <c r="D62" s="2">
        <v>91</v>
      </c>
      <c r="E62" s="2">
        <v>66</v>
      </c>
      <c r="F62">
        <f t="shared" si="6"/>
        <v>86</v>
      </c>
      <c r="G62">
        <f t="shared" si="7"/>
        <v>61</v>
      </c>
      <c r="H62">
        <f t="shared" si="8"/>
        <v>75</v>
      </c>
      <c r="I62">
        <f t="shared" si="9"/>
        <v>86</v>
      </c>
      <c r="J62">
        <f t="shared" si="10"/>
        <v>61</v>
      </c>
      <c r="K62">
        <f t="shared" si="11"/>
        <v>95</v>
      </c>
      <c r="L62">
        <f t="shared" si="12"/>
        <v>13</v>
      </c>
      <c r="M62">
        <f t="shared" si="13"/>
        <v>30</v>
      </c>
      <c r="N62">
        <f t="shared" si="14"/>
        <v>0</v>
      </c>
      <c r="O62">
        <f t="shared" si="15"/>
        <v>30</v>
      </c>
      <c r="P62">
        <f t="shared" si="16"/>
        <v>0</v>
      </c>
      <c r="Q62">
        <f t="shared" si="17"/>
        <v>10</v>
      </c>
      <c r="R62">
        <f t="shared" si="18"/>
        <v>13</v>
      </c>
      <c r="S62">
        <f t="shared" si="19"/>
        <v>0</v>
      </c>
      <c r="T62">
        <f t="shared" si="20"/>
        <v>20</v>
      </c>
      <c r="U62">
        <f t="shared" si="21"/>
        <v>10</v>
      </c>
      <c r="V62">
        <f t="shared" si="22"/>
        <v>0</v>
      </c>
      <c r="W62">
        <f t="shared" si="23"/>
        <v>0</v>
      </c>
      <c r="X62">
        <f t="shared" si="24"/>
        <v>0</v>
      </c>
      <c r="Y62">
        <f t="shared" si="25"/>
        <v>0</v>
      </c>
      <c r="Z62">
        <f t="shared" si="26"/>
        <v>20</v>
      </c>
      <c r="AA62">
        <f t="shared" si="27"/>
        <v>10</v>
      </c>
      <c r="AB62">
        <f t="shared" si="28"/>
        <v>13</v>
      </c>
      <c r="AC62">
        <f t="shared" si="29"/>
        <v>30</v>
      </c>
      <c r="AD62">
        <f t="shared" si="30"/>
        <v>-29</v>
      </c>
      <c r="AE62">
        <f t="shared" si="31"/>
        <v>0</v>
      </c>
      <c r="AF62">
        <f t="shared" si="32"/>
        <v>86</v>
      </c>
      <c r="AG62">
        <f t="shared" si="33"/>
        <v>0</v>
      </c>
      <c r="AH62">
        <f t="shared" si="34"/>
        <v>0</v>
      </c>
      <c r="AI62">
        <f t="shared" si="35"/>
        <v>65</v>
      </c>
      <c r="AM62">
        <f t="shared" si="0"/>
        <v>30</v>
      </c>
      <c r="AN62">
        <f t="shared" si="1"/>
        <v>97</v>
      </c>
      <c r="AO62">
        <f t="shared" si="2"/>
        <v>86</v>
      </c>
      <c r="AP62">
        <f t="shared" si="3"/>
        <v>62</v>
      </c>
    </row>
    <row r="63" spans="1:42" x14ac:dyDescent="0.3">
      <c r="AM63">
        <f t="shared" si="0"/>
        <v>31</v>
      </c>
      <c r="AN63">
        <f t="shared" si="1"/>
        <v>97</v>
      </c>
      <c r="AO63">
        <f t="shared" si="2"/>
        <v>86</v>
      </c>
      <c r="AP63">
        <f t="shared" si="3"/>
        <v>62</v>
      </c>
    </row>
    <row r="64" spans="1:42" x14ac:dyDescent="0.3">
      <c r="AM64">
        <f t="shared" si="0"/>
        <v>31</v>
      </c>
      <c r="AN64">
        <f t="shared" si="1"/>
        <v>65</v>
      </c>
      <c r="AO64">
        <f t="shared" si="2"/>
        <v>82</v>
      </c>
      <c r="AP64">
        <f t="shared" si="3"/>
        <v>75</v>
      </c>
    </row>
    <row r="65" spans="39:42" x14ac:dyDescent="0.3">
      <c r="AM65">
        <f t="shared" si="0"/>
        <v>32</v>
      </c>
      <c r="AN65">
        <f t="shared" si="1"/>
        <v>65</v>
      </c>
      <c r="AO65">
        <f t="shared" si="2"/>
        <v>82</v>
      </c>
      <c r="AP65">
        <f t="shared" si="3"/>
        <v>75</v>
      </c>
    </row>
    <row r="66" spans="39:42" x14ac:dyDescent="0.3">
      <c r="AM66">
        <f t="shared" si="0"/>
        <v>32</v>
      </c>
      <c r="AN66">
        <f t="shared" si="1"/>
        <v>98</v>
      </c>
      <c r="AO66">
        <f t="shared" si="2"/>
        <v>82</v>
      </c>
      <c r="AP66">
        <f t="shared" si="3"/>
        <v>76</v>
      </c>
    </row>
    <row r="67" spans="39:42" x14ac:dyDescent="0.3">
      <c r="AM67">
        <f t="shared" ref="AM67:AM122" si="36">INT((ROW()-1)/2)</f>
        <v>33</v>
      </c>
      <c r="AN67">
        <f t="shared" ref="AN67:AN122" si="37">INDEX($C$2:$C$62, INT((ROW()-2)/2) + 1)</f>
        <v>98</v>
      </c>
      <c r="AO67">
        <f t="shared" ref="AO67:AO122" si="38">INDEX($D$2:$D$62, INT((ROW()-2)/2) + 1)</f>
        <v>82</v>
      </c>
      <c r="AP67">
        <f t="shared" ref="AP67:AP122" si="39">INDEX($E$2:$E$62, INT((ROW()-2)/2) + 1)</f>
        <v>76</v>
      </c>
    </row>
    <row r="68" spans="39:42" x14ac:dyDescent="0.3">
      <c r="AM68">
        <f t="shared" si="36"/>
        <v>33</v>
      </c>
      <c r="AN68">
        <f t="shared" si="37"/>
        <v>76</v>
      </c>
      <c r="AO68">
        <f t="shared" si="38"/>
        <v>80</v>
      </c>
      <c r="AP68">
        <f t="shared" si="39"/>
        <v>70</v>
      </c>
    </row>
    <row r="69" spans="39:42" x14ac:dyDescent="0.3">
      <c r="AM69">
        <f t="shared" si="36"/>
        <v>34</v>
      </c>
      <c r="AN69">
        <f t="shared" si="37"/>
        <v>76</v>
      </c>
      <c r="AO69">
        <f t="shared" si="38"/>
        <v>80</v>
      </c>
      <c r="AP69">
        <f t="shared" si="39"/>
        <v>70</v>
      </c>
    </row>
    <row r="70" spans="39:42" x14ac:dyDescent="0.3">
      <c r="AM70">
        <f t="shared" si="36"/>
        <v>34</v>
      </c>
      <c r="AN70">
        <f t="shared" si="37"/>
        <v>104.00000000000001</v>
      </c>
      <c r="AO70">
        <f t="shared" si="38"/>
        <v>98</v>
      </c>
      <c r="AP70">
        <f t="shared" si="39"/>
        <v>69</v>
      </c>
    </row>
    <row r="71" spans="39:42" x14ac:dyDescent="0.3">
      <c r="AM71">
        <f t="shared" si="36"/>
        <v>35</v>
      </c>
      <c r="AN71">
        <f t="shared" si="37"/>
        <v>104.00000000000001</v>
      </c>
      <c r="AO71">
        <f t="shared" si="38"/>
        <v>98</v>
      </c>
      <c r="AP71">
        <f t="shared" si="39"/>
        <v>69</v>
      </c>
    </row>
    <row r="72" spans="39:42" x14ac:dyDescent="0.3">
      <c r="AM72">
        <f t="shared" si="36"/>
        <v>35</v>
      </c>
      <c r="AN72">
        <f t="shared" si="37"/>
        <v>82</v>
      </c>
      <c r="AO72">
        <f t="shared" si="38"/>
        <v>94</v>
      </c>
      <c r="AP72">
        <f t="shared" si="39"/>
        <v>77.999999999999986</v>
      </c>
    </row>
    <row r="73" spans="39:42" x14ac:dyDescent="0.3">
      <c r="AM73">
        <f t="shared" si="36"/>
        <v>36</v>
      </c>
      <c r="AN73">
        <f t="shared" si="37"/>
        <v>82</v>
      </c>
      <c r="AO73">
        <f t="shared" si="38"/>
        <v>94</v>
      </c>
      <c r="AP73">
        <f t="shared" si="39"/>
        <v>77.999999999999986</v>
      </c>
    </row>
    <row r="74" spans="39:42" x14ac:dyDescent="0.3">
      <c r="AM74">
        <f t="shared" si="36"/>
        <v>36</v>
      </c>
      <c r="AN74">
        <f t="shared" si="37"/>
        <v>73</v>
      </c>
      <c r="AO74">
        <f t="shared" si="38"/>
        <v>76</v>
      </c>
      <c r="AP74">
        <f t="shared" si="39"/>
        <v>71</v>
      </c>
    </row>
    <row r="75" spans="39:42" x14ac:dyDescent="0.3">
      <c r="AM75">
        <f t="shared" si="36"/>
        <v>37</v>
      </c>
      <c r="AN75">
        <f t="shared" si="37"/>
        <v>73</v>
      </c>
      <c r="AO75">
        <f t="shared" si="38"/>
        <v>76</v>
      </c>
      <c r="AP75">
        <f t="shared" si="39"/>
        <v>71</v>
      </c>
    </row>
    <row r="76" spans="39:42" x14ac:dyDescent="0.3">
      <c r="AM76">
        <f t="shared" si="36"/>
        <v>37</v>
      </c>
      <c r="AN76">
        <f t="shared" si="37"/>
        <v>83</v>
      </c>
      <c r="AO76">
        <f t="shared" si="38"/>
        <v>73</v>
      </c>
      <c r="AP76">
        <f t="shared" si="39"/>
        <v>60</v>
      </c>
    </row>
    <row r="77" spans="39:42" x14ac:dyDescent="0.3">
      <c r="AM77">
        <f t="shared" si="36"/>
        <v>38</v>
      </c>
      <c r="AN77">
        <f t="shared" si="37"/>
        <v>83</v>
      </c>
      <c r="AO77">
        <f t="shared" si="38"/>
        <v>73</v>
      </c>
      <c r="AP77">
        <f t="shared" si="39"/>
        <v>60</v>
      </c>
    </row>
    <row r="78" spans="39:42" x14ac:dyDescent="0.3">
      <c r="AM78">
        <f t="shared" si="36"/>
        <v>38</v>
      </c>
      <c r="AN78">
        <f t="shared" si="37"/>
        <v>80</v>
      </c>
      <c r="AO78">
        <f t="shared" si="38"/>
        <v>85</v>
      </c>
      <c r="AP78">
        <f t="shared" si="39"/>
        <v>82</v>
      </c>
    </row>
    <row r="79" spans="39:42" x14ac:dyDescent="0.3">
      <c r="AM79">
        <f t="shared" si="36"/>
        <v>39</v>
      </c>
      <c r="AN79">
        <f t="shared" si="37"/>
        <v>80</v>
      </c>
      <c r="AO79">
        <f t="shared" si="38"/>
        <v>85</v>
      </c>
      <c r="AP79">
        <f t="shared" si="39"/>
        <v>82</v>
      </c>
    </row>
    <row r="80" spans="39:42" x14ac:dyDescent="0.3">
      <c r="AM80">
        <f t="shared" si="36"/>
        <v>39</v>
      </c>
      <c r="AN80">
        <f t="shared" si="37"/>
        <v>70</v>
      </c>
      <c r="AO80">
        <f t="shared" si="38"/>
        <v>94</v>
      </c>
      <c r="AP80">
        <f t="shared" si="39"/>
        <v>66</v>
      </c>
    </row>
    <row r="81" spans="39:42" x14ac:dyDescent="0.3">
      <c r="AM81">
        <f t="shared" si="36"/>
        <v>40</v>
      </c>
      <c r="AN81">
        <f t="shared" si="37"/>
        <v>70</v>
      </c>
      <c r="AO81">
        <f t="shared" si="38"/>
        <v>94</v>
      </c>
      <c r="AP81">
        <f t="shared" si="39"/>
        <v>66</v>
      </c>
    </row>
    <row r="82" spans="39:42" x14ac:dyDescent="0.3">
      <c r="AM82">
        <f t="shared" si="36"/>
        <v>40</v>
      </c>
      <c r="AN82">
        <f t="shared" si="37"/>
        <v>81</v>
      </c>
      <c r="AO82">
        <f t="shared" si="38"/>
        <v>75.000000000000014</v>
      </c>
      <c r="AP82">
        <f t="shared" si="39"/>
        <v>75.000000000000014</v>
      </c>
    </row>
    <row r="83" spans="39:42" x14ac:dyDescent="0.3">
      <c r="AM83">
        <f t="shared" si="36"/>
        <v>41</v>
      </c>
      <c r="AN83">
        <f t="shared" si="37"/>
        <v>81</v>
      </c>
      <c r="AO83">
        <f t="shared" si="38"/>
        <v>75.000000000000014</v>
      </c>
      <c r="AP83">
        <f t="shared" si="39"/>
        <v>75.000000000000014</v>
      </c>
    </row>
    <row r="84" spans="39:42" x14ac:dyDescent="0.3">
      <c r="AM84">
        <f t="shared" si="36"/>
        <v>41</v>
      </c>
      <c r="AN84">
        <f t="shared" si="37"/>
        <v>84</v>
      </c>
      <c r="AO84">
        <f t="shared" si="38"/>
        <v>99.000000000000014</v>
      </c>
      <c r="AP84">
        <f t="shared" si="39"/>
        <v>90</v>
      </c>
    </row>
    <row r="85" spans="39:42" x14ac:dyDescent="0.3">
      <c r="AM85">
        <f t="shared" si="36"/>
        <v>42</v>
      </c>
      <c r="AN85">
        <f t="shared" si="37"/>
        <v>84</v>
      </c>
      <c r="AO85">
        <f t="shared" si="38"/>
        <v>99.000000000000014</v>
      </c>
      <c r="AP85">
        <f t="shared" si="39"/>
        <v>90</v>
      </c>
    </row>
    <row r="86" spans="39:42" x14ac:dyDescent="0.3">
      <c r="AM86">
        <f t="shared" si="36"/>
        <v>42</v>
      </c>
      <c r="AN86">
        <f t="shared" si="37"/>
        <v>82</v>
      </c>
      <c r="AO86">
        <f t="shared" si="38"/>
        <v>89</v>
      </c>
      <c r="AP86">
        <f t="shared" si="39"/>
        <v>82</v>
      </c>
    </row>
    <row r="87" spans="39:42" x14ac:dyDescent="0.3">
      <c r="AM87">
        <f t="shared" si="36"/>
        <v>43</v>
      </c>
      <c r="AN87">
        <f t="shared" si="37"/>
        <v>82</v>
      </c>
      <c r="AO87">
        <f t="shared" si="38"/>
        <v>89</v>
      </c>
      <c r="AP87">
        <f t="shared" si="39"/>
        <v>82</v>
      </c>
    </row>
    <row r="88" spans="39:42" x14ac:dyDescent="0.3">
      <c r="AM88">
        <f t="shared" si="36"/>
        <v>43</v>
      </c>
      <c r="AN88">
        <f t="shared" si="37"/>
        <v>89</v>
      </c>
      <c r="AO88">
        <f t="shared" si="38"/>
        <v>92</v>
      </c>
      <c r="AP88">
        <f t="shared" si="39"/>
        <v>90</v>
      </c>
    </row>
    <row r="89" spans="39:42" x14ac:dyDescent="0.3">
      <c r="AM89">
        <f t="shared" si="36"/>
        <v>44</v>
      </c>
      <c r="AN89">
        <f t="shared" si="37"/>
        <v>89</v>
      </c>
      <c r="AO89">
        <f t="shared" si="38"/>
        <v>92</v>
      </c>
      <c r="AP89">
        <f t="shared" si="39"/>
        <v>90</v>
      </c>
    </row>
    <row r="90" spans="39:42" x14ac:dyDescent="0.3">
      <c r="AM90">
        <f t="shared" si="36"/>
        <v>44</v>
      </c>
      <c r="AN90">
        <f t="shared" si="37"/>
        <v>95</v>
      </c>
      <c r="AO90">
        <f t="shared" si="38"/>
        <v>73</v>
      </c>
      <c r="AP90">
        <f t="shared" si="39"/>
        <v>93</v>
      </c>
    </row>
    <row r="91" spans="39:42" x14ac:dyDescent="0.3">
      <c r="AM91">
        <f t="shared" si="36"/>
        <v>45</v>
      </c>
      <c r="AN91">
        <f t="shared" si="37"/>
        <v>95</v>
      </c>
      <c r="AO91">
        <f t="shared" si="38"/>
        <v>73</v>
      </c>
      <c r="AP91">
        <f t="shared" si="39"/>
        <v>93</v>
      </c>
    </row>
    <row r="92" spans="39:42" x14ac:dyDescent="0.3">
      <c r="AM92">
        <f t="shared" si="36"/>
        <v>45</v>
      </c>
      <c r="AN92">
        <f t="shared" si="37"/>
        <v>60</v>
      </c>
      <c r="AO92">
        <f t="shared" si="38"/>
        <v>102</v>
      </c>
      <c r="AP92">
        <f t="shared" si="39"/>
        <v>88</v>
      </c>
    </row>
    <row r="93" spans="39:42" x14ac:dyDescent="0.3">
      <c r="AM93">
        <f t="shared" si="36"/>
        <v>46</v>
      </c>
      <c r="AN93">
        <f t="shared" si="37"/>
        <v>60</v>
      </c>
      <c r="AO93">
        <f t="shared" si="38"/>
        <v>102</v>
      </c>
      <c r="AP93">
        <f t="shared" si="39"/>
        <v>88</v>
      </c>
    </row>
    <row r="94" spans="39:42" x14ac:dyDescent="0.3">
      <c r="AM94">
        <f t="shared" si="36"/>
        <v>46</v>
      </c>
      <c r="AN94">
        <f t="shared" si="37"/>
        <v>72</v>
      </c>
      <c r="AO94">
        <f t="shared" si="38"/>
        <v>88</v>
      </c>
      <c r="AP94">
        <f t="shared" si="39"/>
        <v>100</v>
      </c>
    </row>
    <row r="95" spans="39:42" x14ac:dyDescent="0.3">
      <c r="AM95">
        <f t="shared" si="36"/>
        <v>47</v>
      </c>
      <c r="AN95">
        <f t="shared" si="37"/>
        <v>72</v>
      </c>
      <c r="AO95">
        <f t="shared" si="38"/>
        <v>88</v>
      </c>
      <c r="AP95">
        <f t="shared" si="39"/>
        <v>100</v>
      </c>
    </row>
    <row r="96" spans="39:42" x14ac:dyDescent="0.3">
      <c r="AM96">
        <f t="shared" si="36"/>
        <v>47</v>
      </c>
      <c r="AN96">
        <f t="shared" si="37"/>
        <v>82</v>
      </c>
      <c r="AO96">
        <f t="shared" si="38"/>
        <v>83.999999999999986</v>
      </c>
      <c r="AP96">
        <f t="shared" si="39"/>
        <v>77</v>
      </c>
    </row>
    <row r="97" spans="39:42" x14ac:dyDescent="0.3">
      <c r="AM97">
        <f t="shared" si="36"/>
        <v>48</v>
      </c>
      <c r="AN97">
        <f t="shared" si="37"/>
        <v>82</v>
      </c>
      <c r="AO97">
        <f t="shared" si="38"/>
        <v>83.999999999999986</v>
      </c>
      <c r="AP97">
        <f t="shared" si="39"/>
        <v>77</v>
      </c>
    </row>
    <row r="98" spans="39:42" x14ac:dyDescent="0.3">
      <c r="AM98">
        <f t="shared" si="36"/>
        <v>48</v>
      </c>
      <c r="AN98">
        <f t="shared" si="37"/>
        <v>71</v>
      </c>
      <c r="AO98">
        <f t="shared" si="38"/>
        <v>82</v>
      </c>
      <c r="AP98">
        <f t="shared" si="39"/>
        <v>72</v>
      </c>
    </row>
    <row r="99" spans="39:42" x14ac:dyDescent="0.3">
      <c r="AM99">
        <f t="shared" si="36"/>
        <v>49</v>
      </c>
      <c r="AN99">
        <f t="shared" si="37"/>
        <v>71</v>
      </c>
      <c r="AO99">
        <f t="shared" si="38"/>
        <v>82</v>
      </c>
      <c r="AP99">
        <f t="shared" si="39"/>
        <v>72</v>
      </c>
    </row>
    <row r="100" spans="39:42" x14ac:dyDescent="0.3">
      <c r="AM100">
        <f t="shared" si="36"/>
        <v>49</v>
      </c>
      <c r="AN100">
        <f t="shared" si="37"/>
        <v>77</v>
      </c>
      <c r="AO100">
        <f t="shared" si="38"/>
        <v>101.99999999999999</v>
      </c>
      <c r="AP100">
        <f t="shared" si="39"/>
        <v>91</v>
      </c>
    </row>
    <row r="101" spans="39:42" x14ac:dyDescent="0.3">
      <c r="AM101">
        <f t="shared" si="36"/>
        <v>50</v>
      </c>
      <c r="AN101">
        <f t="shared" si="37"/>
        <v>77</v>
      </c>
      <c r="AO101">
        <f t="shared" si="38"/>
        <v>101.99999999999999</v>
      </c>
      <c r="AP101">
        <f t="shared" si="39"/>
        <v>91</v>
      </c>
    </row>
    <row r="102" spans="39:42" x14ac:dyDescent="0.3">
      <c r="AM102">
        <f t="shared" si="36"/>
        <v>50</v>
      </c>
      <c r="AN102">
        <f t="shared" si="37"/>
        <v>88</v>
      </c>
      <c r="AO102">
        <f t="shared" si="38"/>
        <v>85</v>
      </c>
      <c r="AP102">
        <f t="shared" si="39"/>
        <v>92</v>
      </c>
    </row>
    <row r="103" spans="39:42" x14ac:dyDescent="0.3">
      <c r="AM103">
        <f t="shared" si="36"/>
        <v>51</v>
      </c>
      <c r="AN103">
        <f t="shared" si="37"/>
        <v>88</v>
      </c>
      <c r="AO103">
        <f t="shared" si="38"/>
        <v>85</v>
      </c>
      <c r="AP103">
        <f t="shared" si="39"/>
        <v>92</v>
      </c>
    </row>
    <row r="104" spans="39:42" x14ac:dyDescent="0.3">
      <c r="AM104">
        <f t="shared" si="36"/>
        <v>51</v>
      </c>
      <c r="AN104">
        <f t="shared" si="37"/>
        <v>76</v>
      </c>
      <c r="AO104">
        <f t="shared" si="38"/>
        <v>79</v>
      </c>
      <c r="AP104">
        <f t="shared" si="39"/>
        <v>90</v>
      </c>
    </row>
    <row r="105" spans="39:42" x14ac:dyDescent="0.3">
      <c r="AM105">
        <f t="shared" si="36"/>
        <v>52</v>
      </c>
      <c r="AN105">
        <f t="shared" si="37"/>
        <v>76</v>
      </c>
      <c r="AO105">
        <f t="shared" si="38"/>
        <v>79</v>
      </c>
      <c r="AP105">
        <f t="shared" si="39"/>
        <v>90</v>
      </c>
    </row>
    <row r="106" spans="39:42" x14ac:dyDescent="0.3">
      <c r="AM106">
        <f t="shared" si="36"/>
        <v>52</v>
      </c>
      <c r="AN106">
        <f t="shared" si="37"/>
        <v>53</v>
      </c>
      <c r="AO106">
        <f t="shared" si="38"/>
        <v>77</v>
      </c>
      <c r="AP106">
        <f t="shared" si="39"/>
        <v>75</v>
      </c>
    </row>
    <row r="107" spans="39:42" x14ac:dyDescent="0.3">
      <c r="AM107">
        <f t="shared" si="36"/>
        <v>53</v>
      </c>
      <c r="AN107">
        <f t="shared" si="37"/>
        <v>53</v>
      </c>
      <c r="AO107">
        <f t="shared" si="38"/>
        <v>77</v>
      </c>
      <c r="AP107">
        <f t="shared" si="39"/>
        <v>75</v>
      </c>
    </row>
    <row r="108" spans="39:42" x14ac:dyDescent="0.3">
      <c r="AM108">
        <f t="shared" si="36"/>
        <v>53</v>
      </c>
      <c r="AN108">
        <f t="shared" si="37"/>
        <v>85</v>
      </c>
      <c r="AO108">
        <f t="shared" si="38"/>
        <v>98</v>
      </c>
      <c r="AP108">
        <f t="shared" si="39"/>
        <v>102.99999999999999</v>
      </c>
    </row>
    <row r="109" spans="39:42" x14ac:dyDescent="0.3">
      <c r="AM109">
        <f t="shared" si="36"/>
        <v>54</v>
      </c>
      <c r="AN109">
        <f t="shared" si="37"/>
        <v>85</v>
      </c>
      <c r="AO109">
        <f t="shared" si="38"/>
        <v>98</v>
      </c>
      <c r="AP109">
        <f t="shared" si="39"/>
        <v>102.99999999999999</v>
      </c>
    </row>
    <row r="110" spans="39:42" x14ac:dyDescent="0.3">
      <c r="AM110">
        <f t="shared" si="36"/>
        <v>54</v>
      </c>
      <c r="AN110">
        <f t="shared" si="37"/>
        <v>71</v>
      </c>
      <c r="AO110">
        <f t="shared" si="38"/>
        <v>68</v>
      </c>
      <c r="AP110">
        <f t="shared" si="39"/>
        <v>89</v>
      </c>
    </row>
    <row r="111" spans="39:42" x14ac:dyDescent="0.3">
      <c r="AM111">
        <f t="shared" si="36"/>
        <v>55</v>
      </c>
      <c r="AN111">
        <f t="shared" si="37"/>
        <v>71</v>
      </c>
      <c r="AO111">
        <f t="shared" si="38"/>
        <v>68</v>
      </c>
      <c r="AP111">
        <f t="shared" si="39"/>
        <v>89</v>
      </c>
    </row>
    <row r="112" spans="39:42" x14ac:dyDescent="0.3">
      <c r="AM112">
        <f t="shared" si="36"/>
        <v>55</v>
      </c>
      <c r="AN112">
        <f t="shared" si="37"/>
        <v>92</v>
      </c>
      <c r="AO112">
        <f t="shared" si="38"/>
        <v>102</v>
      </c>
      <c r="AP112">
        <f t="shared" si="39"/>
        <v>101</v>
      </c>
    </row>
    <row r="113" spans="39:42" x14ac:dyDescent="0.3">
      <c r="AM113">
        <f t="shared" si="36"/>
        <v>56</v>
      </c>
      <c r="AN113">
        <f t="shared" si="37"/>
        <v>92</v>
      </c>
      <c r="AO113">
        <f t="shared" si="38"/>
        <v>102</v>
      </c>
      <c r="AP113">
        <f t="shared" si="39"/>
        <v>101</v>
      </c>
    </row>
    <row r="114" spans="39:42" x14ac:dyDescent="0.3">
      <c r="AM114">
        <f t="shared" si="36"/>
        <v>56</v>
      </c>
      <c r="AN114">
        <f t="shared" si="37"/>
        <v>85</v>
      </c>
      <c r="AO114">
        <f t="shared" si="38"/>
        <v>84</v>
      </c>
      <c r="AP114">
        <f t="shared" si="39"/>
        <v>73</v>
      </c>
    </row>
    <row r="115" spans="39:42" x14ac:dyDescent="0.3">
      <c r="AM115">
        <f t="shared" si="36"/>
        <v>57</v>
      </c>
      <c r="AN115">
        <f t="shared" si="37"/>
        <v>85</v>
      </c>
      <c r="AO115">
        <f t="shared" si="38"/>
        <v>84</v>
      </c>
      <c r="AP115">
        <f t="shared" si="39"/>
        <v>73</v>
      </c>
    </row>
    <row r="116" spans="39:42" x14ac:dyDescent="0.3">
      <c r="AM116">
        <f t="shared" si="36"/>
        <v>57</v>
      </c>
      <c r="AN116">
        <f t="shared" si="37"/>
        <v>89</v>
      </c>
      <c r="AO116">
        <f t="shared" si="38"/>
        <v>102</v>
      </c>
      <c r="AP116">
        <f t="shared" si="39"/>
        <v>105</v>
      </c>
    </row>
    <row r="117" spans="39:42" x14ac:dyDescent="0.3">
      <c r="AM117">
        <f t="shared" si="36"/>
        <v>58</v>
      </c>
      <c r="AN117">
        <f t="shared" si="37"/>
        <v>89</v>
      </c>
      <c r="AO117">
        <f t="shared" si="38"/>
        <v>102</v>
      </c>
      <c r="AP117">
        <f t="shared" si="39"/>
        <v>105</v>
      </c>
    </row>
    <row r="118" spans="39:42" x14ac:dyDescent="0.3">
      <c r="AM118">
        <f t="shared" si="36"/>
        <v>58</v>
      </c>
      <c r="AN118">
        <f t="shared" si="37"/>
        <v>87</v>
      </c>
      <c r="AO118">
        <f t="shared" si="38"/>
        <v>81</v>
      </c>
      <c r="AP118">
        <f t="shared" si="39"/>
        <v>85</v>
      </c>
    </row>
    <row r="119" spans="39:42" x14ac:dyDescent="0.3">
      <c r="AM119">
        <f t="shared" si="36"/>
        <v>59</v>
      </c>
      <c r="AN119">
        <f t="shared" si="37"/>
        <v>87</v>
      </c>
      <c r="AO119">
        <f t="shared" si="38"/>
        <v>81</v>
      </c>
      <c r="AP119">
        <f t="shared" si="39"/>
        <v>85</v>
      </c>
    </row>
    <row r="120" spans="39:42" x14ac:dyDescent="0.3">
      <c r="AM120">
        <f t="shared" si="36"/>
        <v>59</v>
      </c>
      <c r="AN120">
        <f t="shared" si="37"/>
        <v>86</v>
      </c>
      <c r="AO120">
        <f t="shared" si="38"/>
        <v>78</v>
      </c>
      <c r="AP120">
        <f t="shared" si="39"/>
        <v>105</v>
      </c>
    </row>
    <row r="121" spans="39:42" x14ac:dyDescent="0.3">
      <c r="AM121">
        <f t="shared" si="36"/>
        <v>60</v>
      </c>
      <c r="AN121">
        <f t="shared" si="37"/>
        <v>86</v>
      </c>
      <c r="AO121">
        <f t="shared" si="38"/>
        <v>78</v>
      </c>
      <c r="AP121">
        <f t="shared" si="39"/>
        <v>105</v>
      </c>
    </row>
    <row r="122" spans="39:42" x14ac:dyDescent="0.3">
      <c r="AM122">
        <f t="shared" si="36"/>
        <v>60</v>
      </c>
      <c r="AN122">
        <f t="shared" si="37"/>
        <v>99</v>
      </c>
      <c r="AO122">
        <f t="shared" si="38"/>
        <v>91</v>
      </c>
      <c r="AP122">
        <f t="shared" si="39"/>
        <v>66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56D0E-9B30-4A02-9782-B7DC879E37D4}">
  <dimension ref="C1:E62"/>
  <sheetViews>
    <sheetView workbookViewId="0">
      <selection activeCell="H13" sqref="H13"/>
    </sheetView>
  </sheetViews>
  <sheetFormatPr defaultRowHeight="14.4" x14ac:dyDescent="0.3"/>
  <cols>
    <col min="3" max="5" width="8.88671875" style="3"/>
  </cols>
  <sheetData>
    <row r="1" spans="3:5" x14ac:dyDescent="0.3">
      <c r="C1" s="4" t="s">
        <v>2</v>
      </c>
      <c r="D1" s="4" t="s">
        <v>3</v>
      </c>
      <c r="E1" s="4" t="s">
        <v>4</v>
      </c>
    </row>
    <row r="2" spans="3:5" x14ac:dyDescent="0.3">
      <c r="C2" s="3">
        <v>100</v>
      </c>
      <c r="D2" s="3">
        <v>100</v>
      </c>
      <c r="E2" s="3">
        <v>100</v>
      </c>
    </row>
    <row r="3" spans="3:5" x14ac:dyDescent="0.3">
      <c r="C3" s="2">
        <v>78</v>
      </c>
      <c r="D3" s="2">
        <v>90</v>
      </c>
      <c r="E3" s="2">
        <v>90</v>
      </c>
    </row>
    <row r="4" spans="3:5" x14ac:dyDescent="0.3">
      <c r="C4" s="2">
        <v>81</v>
      </c>
      <c r="D4" s="2">
        <v>92</v>
      </c>
      <c r="E4" s="2">
        <v>92</v>
      </c>
    </row>
    <row r="5" spans="3:5" x14ac:dyDescent="0.3">
      <c r="C5" s="2">
        <v>87</v>
      </c>
      <c r="D5" s="2">
        <v>99</v>
      </c>
      <c r="E5" s="2">
        <v>99</v>
      </c>
    </row>
    <row r="6" spans="3:5" x14ac:dyDescent="0.3">
      <c r="C6" s="2">
        <v>92</v>
      </c>
      <c r="D6" s="2">
        <v>71</v>
      </c>
      <c r="E6" s="2">
        <v>71</v>
      </c>
    </row>
    <row r="7" spans="3:5" x14ac:dyDescent="0.3">
      <c r="C7" s="2">
        <v>76</v>
      </c>
      <c r="D7" s="2">
        <v>74</v>
      </c>
      <c r="E7" s="2">
        <v>74</v>
      </c>
    </row>
    <row r="8" spans="3:5" x14ac:dyDescent="0.3">
      <c r="C8" s="2">
        <v>74</v>
      </c>
      <c r="D8" s="2">
        <v>84</v>
      </c>
      <c r="E8" s="2">
        <v>84</v>
      </c>
    </row>
    <row r="9" spans="3:5" x14ac:dyDescent="0.3">
      <c r="C9" s="2">
        <v>82</v>
      </c>
      <c r="D9" s="2">
        <v>78</v>
      </c>
      <c r="E9" s="2">
        <v>78</v>
      </c>
    </row>
    <row r="10" spans="3:5" x14ac:dyDescent="0.3">
      <c r="C10" s="2">
        <v>76</v>
      </c>
      <c r="D10" s="2">
        <v>96</v>
      </c>
      <c r="E10" s="2">
        <v>96</v>
      </c>
    </row>
    <row r="11" spans="3:5" x14ac:dyDescent="0.3">
      <c r="C11" s="2">
        <v>83</v>
      </c>
      <c r="D11" s="2">
        <v>101</v>
      </c>
      <c r="E11" s="2">
        <v>101</v>
      </c>
    </row>
    <row r="12" spans="3:5" x14ac:dyDescent="0.3">
      <c r="C12" s="2">
        <v>70</v>
      </c>
      <c r="D12" s="2">
        <v>74</v>
      </c>
      <c r="E12" s="2">
        <v>74</v>
      </c>
    </row>
    <row r="13" spans="3:5" x14ac:dyDescent="0.3">
      <c r="C13" s="2">
        <v>70</v>
      </c>
      <c r="D13" s="2">
        <v>78</v>
      </c>
      <c r="E13" s="2">
        <v>78</v>
      </c>
    </row>
    <row r="14" spans="3:5" x14ac:dyDescent="0.3">
      <c r="C14" s="2">
        <v>75</v>
      </c>
      <c r="D14" s="2">
        <v>79</v>
      </c>
      <c r="E14" s="2">
        <v>79</v>
      </c>
    </row>
    <row r="15" spans="3:5" x14ac:dyDescent="0.3">
      <c r="C15" s="2">
        <v>70</v>
      </c>
      <c r="D15" s="2">
        <v>80</v>
      </c>
      <c r="E15" s="2">
        <v>80</v>
      </c>
    </row>
    <row r="16" spans="3:5" x14ac:dyDescent="0.3">
      <c r="C16" s="2">
        <v>67</v>
      </c>
      <c r="D16" s="2">
        <v>86</v>
      </c>
      <c r="E16" s="2">
        <v>86</v>
      </c>
    </row>
    <row r="17" spans="3:5" x14ac:dyDescent="0.3">
      <c r="C17" s="2">
        <v>84</v>
      </c>
      <c r="D17" s="2">
        <v>81</v>
      </c>
      <c r="E17" s="2">
        <v>81</v>
      </c>
    </row>
    <row r="18" spans="3:5" x14ac:dyDescent="0.3">
      <c r="C18" s="2">
        <v>79</v>
      </c>
      <c r="D18" s="2">
        <v>74</v>
      </c>
      <c r="E18" s="2">
        <v>74</v>
      </c>
    </row>
    <row r="19" spans="3:5" x14ac:dyDescent="0.3">
      <c r="C19" s="2">
        <v>80</v>
      </c>
      <c r="D19" s="2">
        <v>95</v>
      </c>
      <c r="E19" s="2">
        <v>95</v>
      </c>
    </row>
    <row r="20" spans="3:5" x14ac:dyDescent="0.3">
      <c r="C20" s="2">
        <v>79</v>
      </c>
      <c r="D20" s="2">
        <v>86</v>
      </c>
      <c r="E20" s="2">
        <v>86</v>
      </c>
    </row>
    <row r="21" spans="3:5" x14ac:dyDescent="0.3">
      <c r="C21" s="2">
        <v>81</v>
      </c>
      <c r="D21" s="2">
        <v>82</v>
      </c>
      <c r="E21" s="2">
        <v>82</v>
      </c>
    </row>
    <row r="22" spans="3:5" x14ac:dyDescent="0.3">
      <c r="C22" s="2">
        <v>79</v>
      </c>
      <c r="D22" s="2">
        <v>74</v>
      </c>
      <c r="E22" s="2">
        <v>74</v>
      </c>
    </row>
    <row r="23" spans="3:5" x14ac:dyDescent="0.3">
      <c r="C23" s="2">
        <v>77</v>
      </c>
      <c r="D23" s="2">
        <v>84</v>
      </c>
      <c r="E23" s="2">
        <v>84</v>
      </c>
    </row>
    <row r="24" spans="3:5" x14ac:dyDescent="0.3">
      <c r="C24" s="2">
        <v>79</v>
      </c>
      <c r="D24" s="2">
        <v>79</v>
      </c>
      <c r="E24" s="2">
        <v>79</v>
      </c>
    </row>
    <row r="25" spans="3:5" x14ac:dyDescent="0.3">
      <c r="C25" s="2">
        <v>63</v>
      </c>
      <c r="D25" s="2">
        <v>86</v>
      </c>
      <c r="E25" s="2">
        <v>86</v>
      </c>
    </row>
    <row r="26" spans="3:5" x14ac:dyDescent="0.3">
      <c r="C26" s="2">
        <v>90</v>
      </c>
      <c r="D26" s="2">
        <v>87</v>
      </c>
      <c r="E26" s="2">
        <v>87</v>
      </c>
    </row>
    <row r="27" spans="3:5" x14ac:dyDescent="0.3">
      <c r="C27" s="2">
        <v>76</v>
      </c>
      <c r="D27" s="2">
        <v>88</v>
      </c>
      <c r="E27" s="2">
        <v>88</v>
      </c>
    </row>
    <row r="28" spans="3:5" x14ac:dyDescent="0.3">
      <c r="C28" s="2">
        <v>75</v>
      </c>
      <c r="D28" s="2">
        <v>83</v>
      </c>
      <c r="E28" s="2">
        <v>83</v>
      </c>
    </row>
    <row r="29" spans="3:5" x14ac:dyDescent="0.3">
      <c r="C29" s="2">
        <v>77</v>
      </c>
      <c r="D29" s="2">
        <v>74</v>
      </c>
      <c r="E29" s="2">
        <v>74</v>
      </c>
    </row>
    <row r="30" spans="3:5" x14ac:dyDescent="0.3">
      <c r="C30" s="2">
        <v>78</v>
      </c>
      <c r="D30" s="2">
        <v>74</v>
      </c>
      <c r="E30" s="2">
        <v>74</v>
      </c>
    </row>
    <row r="31" spans="3:5" x14ac:dyDescent="0.3">
      <c r="C31" s="2">
        <v>70</v>
      </c>
      <c r="D31" s="2">
        <v>93</v>
      </c>
      <c r="E31" s="2">
        <v>93</v>
      </c>
    </row>
    <row r="32" spans="3:5" x14ac:dyDescent="0.3">
      <c r="C32" s="2">
        <v>74</v>
      </c>
      <c r="D32" s="2">
        <v>75</v>
      </c>
      <c r="E32" s="2">
        <v>75</v>
      </c>
    </row>
    <row r="33" spans="3:5" x14ac:dyDescent="0.3">
      <c r="C33" s="2">
        <v>82</v>
      </c>
      <c r="D33" s="2">
        <v>76</v>
      </c>
      <c r="E33" s="2">
        <v>76</v>
      </c>
    </row>
    <row r="34" spans="3:5" x14ac:dyDescent="0.3">
      <c r="C34" s="2">
        <v>94</v>
      </c>
      <c r="D34" s="2">
        <v>90</v>
      </c>
      <c r="E34" s="2">
        <v>90</v>
      </c>
    </row>
    <row r="35" spans="3:5" x14ac:dyDescent="0.3">
      <c r="C35" s="2">
        <v>78</v>
      </c>
      <c r="D35" s="2">
        <v>80</v>
      </c>
      <c r="E35" s="2">
        <v>80</v>
      </c>
    </row>
    <row r="36" spans="3:5" x14ac:dyDescent="0.3">
      <c r="C36" s="2">
        <v>87</v>
      </c>
      <c r="D36" s="2">
        <v>76</v>
      </c>
      <c r="E36" s="2">
        <v>76</v>
      </c>
    </row>
    <row r="37" spans="3:5" x14ac:dyDescent="0.3">
      <c r="C37" s="2">
        <v>71</v>
      </c>
      <c r="D37" s="2">
        <v>77</v>
      </c>
      <c r="E37" s="2">
        <v>77</v>
      </c>
    </row>
    <row r="38" spans="3:5" x14ac:dyDescent="0.3">
      <c r="C38" s="2">
        <v>81</v>
      </c>
      <c r="D38" s="2">
        <v>70</v>
      </c>
      <c r="E38" s="2">
        <v>70</v>
      </c>
    </row>
    <row r="39" spans="3:5" x14ac:dyDescent="0.3">
      <c r="C39" s="2">
        <v>82</v>
      </c>
      <c r="D39" s="2">
        <v>78</v>
      </c>
      <c r="E39" s="2">
        <v>78</v>
      </c>
    </row>
    <row r="40" spans="3:5" x14ac:dyDescent="0.3">
      <c r="C40" s="2">
        <v>73</v>
      </c>
      <c r="D40" s="2">
        <v>86</v>
      </c>
      <c r="E40" s="2">
        <v>86</v>
      </c>
    </row>
    <row r="41" spans="3:5" x14ac:dyDescent="0.3">
      <c r="C41" s="2">
        <v>87</v>
      </c>
      <c r="D41" s="2">
        <v>84</v>
      </c>
      <c r="E41" s="2">
        <v>84</v>
      </c>
    </row>
    <row r="42" spans="3:5" x14ac:dyDescent="0.3">
      <c r="C42" s="2">
        <v>79</v>
      </c>
      <c r="D42" s="2">
        <v>73</v>
      </c>
      <c r="E42" s="2">
        <v>73</v>
      </c>
    </row>
    <row r="43" spans="3:5" x14ac:dyDescent="0.3">
      <c r="C43" s="2">
        <v>83</v>
      </c>
      <c r="D43" s="2">
        <v>90</v>
      </c>
      <c r="E43" s="2">
        <v>90</v>
      </c>
    </row>
    <row r="44" spans="3:5" x14ac:dyDescent="0.3">
      <c r="C44" s="2">
        <v>90</v>
      </c>
      <c r="D44" s="2">
        <v>87</v>
      </c>
      <c r="E44" s="2">
        <v>87</v>
      </c>
    </row>
    <row r="45" spans="3:5" x14ac:dyDescent="0.3">
      <c r="C45" s="2">
        <v>84</v>
      </c>
      <c r="D45" s="2">
        <v>83</v>
      </c>
      <c r="E45" s="2">
        <v>83</v>
      </c>
    </row>
    <row r="46" spans="3:5" x14ac:dyDescent="0.3">
      <c r="C46" s="2">
        <v>96</v>
      </c>
      <c r="D46" s="2">
        <v>91</v>
      </c>
      <c r="E46" s="2">
        <v>91</v>
      </c>
    </row>
    <row r="47" spans="3:5" x14ac:dyDescent="0.3">
      <c r="C47" s="2">
        <v>65</v>
      </c>
      <c r="D47" s="2">
        <v>88</v>
      </c>
      <c r="E47" s="2">
        <v>88</v>
      </c>
    </row>
    <row r="48" spans="3:5" x14ac:dyDescent="0.3">
      <c r="C48" s="2">
        <v>84</v>
      </c>
      <c r="D48" s="2">
        <v>79</v>
      </c>
      <c r="E48" s="2">
        <v>79</v>
      </c>
    </row>
    <row r="49" spans="3:5" x14ac:dyDescent="0.3">
      <c r="C49" s="2">
        <v>99</v>
      </c>
      <c r="D49" s="2">
        <v>79</v>
      </c>
      <c r="E49" s="2">
        <v>79</v>
      </c>
    </row>
    <row r="50" spans="3:5" x14ac:dyDescent="0.3">
      <c r="C50" s="2">
        <v>79</v>
      </c>
      <c r="D50" s="2">
        <v>80</v>
      </c>
      <c r="E50" s="2">
        <v>80</v>
      </c>
    </row>
    <row r="51" spans="3:5" x14ac:dyDescent="0.3">
      <c r="C51" s="2">
        <v>73</v>
      </c>
      <c r="D51" s="2">
        <v>93</v>
      </c>
      <c r="E51" s="2">
        <v>93</v>
      </c>
    </row>
    <row r="52" spans="3:5" x14ac:dyDescent="0.3">
      <c r="C52" s="2">
        <v>81</v>
      </c>
      <c r="D52" s="2">
        <v>85</v>
      </c>
      <c r="E52" s="2">
        <v>85</v>
      </c>
    </row>
    <row r="53" spans="3:5" x14ac:dyDescent="0.3">
      <c r="C53" s="2">
        <v>79</v>
      </c>
      <c r="D53" s="2">
        <v>91</v>
      </c>
      <c r="E53" s="2">
        <v>91</v>
      </c>
    </row>
    <row r="54" spans="3:5" x14ac:dyDescent="0.3">
      <c r="C54" s="2">
        <v>74</v>
      </c>
      <c r="D54" s="2">
        <v>75</v>
      </c>
      <c r="E54" s="2">
        <v>75</v>
      </c>
    </row>
    <row r="55" spans="3:5" x14ac:dyDescent="0.3">
      <c r="C55" s="2">
        <v>87</v>
      </c>
      <c r="D55" s="2">
        <v>86</v>
      </c>
      <c r="E55" s="2">
        <v>86</v>
      </c>
    </row>
    <row r="56" spans="3:5" x14ac:dyDescent="0.3">
      <c r="C56" s="2">
        <v>74</v>
      </c>
      <c r="D56" s="2">
        <v>81</v>
      </c>
      <c r="E56" s="2">
        <v>81</v>
      </c>
    </row>
    <row r="57" spans="3:5" x14ac:dyDescent="0.3">
      <c r="C57" s="2">
        <v>71</v>
      </c>
      <c r="D57" s="2">
        <v>88</v>
      </c>
      <c r="E57" s="2">
        <v>88</v>
      </c>
    </row>
    <row r="58" spans="3:5" x14ac:dyDescent="0.3">
      <c r="C58" s="2">
        <v>75</v>
      </c>
      <c r="D58" s="2">
        <v>83</v>
      </c>
      <c r="E58" s="2">
        <v>83</v>
      </c>
    </row>
    <row r="59" spans="3:5" x14ac:dyDescent="0.3">
      <c r="C59" s="2">
        <v>87</v>
      </c>
      <c r="D59" s="2">
        <v>92</v>
      </c>
      <c r="E59" s="2">
        <v>92</v>
      </c>
    </row>
    <row r="60" spans="3:5" x14ac:dyDescent="0.3">
      <c r="C60" s="2">
        <v>77</v>
      </c>
      <c r="D60" s="2">
        <v>88</v>
      </c>
      <c r="E60" s="2">
        <v>88</v>
      </c>
    </row>
    <row r="61" spans="3:5" x14ac:dyDescent="0.3">
      <c r="C61" s="2">
        <v>78</v>
      </c>
      <c r="D61" s="2">
        <v>89</v>
      </c>
      <c r="E61" s="2">
        <v>89</v>
      </c>
    </row>
    <row r="62" spans="3:5" x14ac:dyDescent="0.3">
      <c r="C62" s="2">
        <v>86</v>
      </c>
      <c r="D62" s="2">
        <v>76</v>
      </c>
      <c r="E62" s="2">
        <v>76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Otimizacao_SCM</vt:lpstr>
      <vt:lpstr>Guess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Fabrizio Leonardi</dc:creator>
  <cp:lastModifiedBy>Fabrizio Leonardi</cp:lastModifiedBy>
  <dcterms:created xsi:type="dcterms:W3CDTF">2015-06-05T18:19:34Z</dcterms:created>
  <dcterms:modified xsi:type="dcterms:W3CDTF">2026-04-25T18:20:46Z</dcterms:modified>
</cp:coreProperties>
</file>